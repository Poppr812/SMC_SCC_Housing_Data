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Stock" sheetId="3" state="visible" r:id="rId5"/>
    <sheet name="Trend" sheetId="4" state="visible" r:id="rId6"/>
    <sheet name="Pipeline_Q2_2026" sheetId="5" state="visible" r:id="rId7"/>
    <sheet name="Projects" sheetId="6" state="visible" r:id="rId8"/>
    <sheet name="Sources" sheetId="7" state="visible" r:id="rId9"/>
    <sheet name="How_to_update" sheetId="8" state="visible" r:id="rId10"/>
  </sheets>
  <definedNames>
    <definedName function="false" hidden="true" localSheetId="5" name="_xlnm._FilterDatabase" vbProcedure="false">Projects!$A$1:$Z$266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<sst xmlns="http://schemas.openxmlformats.org/spreadsheetml/2006/main" count="3836" uniqueCount="1885">
  <si>
    <t xml:space="preserve">San Francisco Housing Stock &amp; Development Activity — Data Workbook</t>
  </si>
  <si>
    <t xml:space="preserve">Compiled 2026-09-09 by Claude for Paul (RaaP). All figures trace to a source row in the Sources tab; every Projects row carries its own source URL.</t>
  </si>
  <si>
    <t xml:space="preserve">Tabs</t>
  </si>
  <si>
    <t xml:space="preserve">Summary — live COUNTIFS/SUMIFS over the Projects tab, plus the official citywide figures (Housing Inventory 2025, Pipeline Report 2026 Q2).</t>
  </si>
  <si>
    <t xml:space="preserve">Stock — citywide housing stock by building type (2024, 2025), 41 Analysis Neighborhoods (2025), tenure / vacancy / age of stock (ACS).</t>
  </si>
  <si>
    <t xml:space="preserve">Trend — units authorized, completed, demolished, altered, net change, 2006–2025 + 2026 H1; affordable production by income level and source, 2021–2025.</t>
  </si>
  <si>
    <t xml:space="preserve">Pipeline_Q2_2026 — SF Planning Pipeline Report snapshot by stage and the 14 major multi-phase projects.</t>
  </si>
  <si>
    <t xml:space="preserve">Projects — one row per project (265 rows): completions 2023–2026 YTD (10+ units), under construction, permitted, approved, filed/pre-development, and multi-phase remainders. Capital-stack columns populated where public sources exist; otherwise blank.</t>
  </si>
  <si>
    <t xml:space="preserve">Sources — every dataset/report used, with URL and retrieval date.</t>
  </si>
  <si>
    <t xml:space="preserve">How_to_update — refresh steps and cadence per source.</t>
  </si>
  <si>
    <t xml:space="preserve">Status (normalized) definitions</t>
  </si>
  <si>
    <t xml:space="preserve">Complete = TCO or CFC issued (Housing Inventory counts TCO as complete).</t>
  </si>
  <si>
    <t xml:space="preserve">Under Construction = SF Planning definition: issued full building permit, OR issued site permit + approved first construction document (FCD). MOHCD construction status (5).</t>
  </si>
  <si>
    <t xml:space="preserve">Permitted = issued site permit without FCD (MOHCD status 4) — Pipeline Report calls this 'Building Permit Issued'; NOT counted as under construction or toward RHNA.</t>
  </si>
  <si>
    <t xml:space="preserve">Approved = Planning entitlement granted / MOHCD 'Design with Entitlements Approved' (3); building permits filed or not yet filed.</t>
  </si>
  <si>
    <t xml:space="preserve">Under Review = application filed with Planning, or MOHCD pre-development / preliminary / multiphase-before-predevelopment (0–2).</t>
  </si>
  <si>
    <t xml:space="preserve">Major Multi-Phase (remaining) = un-permitted remaining phases of the 14 entitled master-plan projects, as reported in the Pipeline Report.</t>
  </si>
  <si>
    <t xml:space="preserve">Size buckets (column M, formula): ≤4 | 5–10 | 11–20 | 21–50 | 51–250 | 251+ total units.</t>
  </si>
  <si>
    <t xml:space="preserve">Coverage caveat</t>
  </si>
  <si>
    <t xml:space="preserve">The Projects tab is NOT the full DataSF Development Pipeline (which has thousands of rows, most non-residential or &lt;10 units). It covers every project ≥10 units listed in the 2023–2025 Housing Inventory appendices, the full MOHCD Affordable Housing Pipeline (≈170 projects captured), and named market-rate projects. For all small projects/ADUs, pull the DataSF CSV (Sources tab) and append.</t>
  </si>
  <si>
    <t xml:space="preserve">Affordability mix is written as 'units @ AMI band' in one cell; AMI bands follow MOHCD's declared columns (20/30/40/50/55/60/80/90/100/110/120/130/150%). Housing Inventory rows use the four HI bands (Ext. Low ≤30%, Very Low ≤50%, Low ≤80%, Moderate ≤120%).</t>
  </si>
  <si>
    <t xml:space="preserve">Unit counts for 100% affordable projects: 'Total Units' includes manager units; 'Affordable Units' excludes them (MOHCD convention).</t>
  </si>
  <si>
    <t xml:space="preserve">Yellow cells = analyst estimate or placeholder to verify.</t>
  </si>
  <si>
    <t xml:space="preserve">San Francisco housing — summary dashboard</t>
  </si>
  <si>
    <t xml:space="preserve">Formulas recalc from the Projects tab; 'official' blocks are hard-coded from SF Planning reports (see Sources).</t>
  </si>
  <si>
    <t xml:space="preserve">A. Official citywide figures</t>
  </si>
  <si>
    <t xml:space="preserve">Metric</t>
  </si>
  <si>
    <t xml:space="preserve">Value</t>
  </si>
  <si>
    <t xml:space="preserve">As of</t>
  </si>
  <si>
    <t xml:space="preserve">Source</t>
  </si>
  <si>
    <t xml:space="preserve">Total housing units (SF Planning)</t>
  </si>
  <si>
    <t xml:space="preserve">Dec 31, 2025</t>
  </si>
  <si>
    <t xml:space="preserve">Housing Inventory 2025, Table 1</t>
  </si>
  <si>
    <t xml:space="preserve">Net units added 2025</t>
  </si>
  <si>
    <t xml:space="preserve">2025</t>
  </si>
  <si>
    <t xml:space="preserve">HI 2025, Table 2</t>
  </si>
  <si>
    <t xml:space="preserve">Units completed from new construction 2025</t>
  </si>
  <si>
    <t xml:space="preserve">Units completed 2026 H1 (ready for occupancy)</t>
  </si>
  <si>
    <t xml:space="preserve">Jan–Jun 2026</t>
  </si>
  <si>
    <t xml:space="preserve">The Frisc (SF Planning Housing Dashboard), Jul 2026</t>
  </si>
  <si>
    <t xml:space="preserve">Net units authorized for construction 2025</t>
  </si>
  <si>
    <t xml:space="preserve">Units approved by Planning 2025</t>
  </si>
  <si>
    <t xml:space="preserve">HI 2025, Table 3</t>
  </si>
  <si>
    <t xml:space="preserve">Units filed at Planning 2025</t>
  </si>
  <si>
    <t xml:space="preserve">New affordable units completed 2025</t>
  </si>
  <si>
    <t xml:space="preserve">HI 2025, Table 23 (66% of new units)</t>
  </si>
  <si>
    <t xml:space="preserve">Pipeline — total new units</t>
  </si>
  <si>
    <t xml:space="preserve">Q2 2026 (Apr 2026)</t>
  </si>
  <si>
    <t xml:space="preserve">Pipeline Report 2026 Q2</t>
  </si>
  <si>
    <t xml:space="preserve">Pipeline — affordable units (24%)</t>
  </si>
  <si>
    <t xml:space="preserve">Q2 2026</t>
  </si>
  <si>
    <t xml:space="preserve">Pipeline — under construction</t>
  </si>
  <si>
    <t xml:space="preserve">Pipeline — building permits issued (site)</t>
  </si>
  <si>
    <t xml:space="preserve">Pipeline — building permits approved</t>
  </si>
  <si>
    <t xml:space="preserve">Pipeline — building permits filed</t>
  </si>
  <si>
    <t xml:space="preserve">Pipeline — approved, permits not yet filed</t>
  </si>
  <si>
    <t xml:space="preserve">Pipeline — applications filed (under review)</t>
  </si>
  <si>
    <t xml:space="preserve">Pipeline — major multi-phase (remaining)</t>
  </si>
  <si>
    <t xml:space="preserve">Affordable units under construction (MOHCD 'general estimation')</t>
  </si>
  <si>
    <t xml:space="preserve">Jun 2026</t>
  </si>
  <si>
    <t xml:space="preserve">MOHCD director to BOS, per The Frisc</t>
  </si>
  <si>
    <t xml:space="preserve">RHNA 2023–2031 progress (units credited)</t>
  </si>
  <si>
    <t xml:space="preserve">Dec 2025</t>
  </si>
  <si>
    <t xml:space="preserve">HI 2025 (12% of 82,069)</t>
  </si>
  <si>
    <t xml:space="preserve">B. Projects tracked in this workbook — by normalized status</t>
  </si>
  <si>
    <t xml:space="preserve">Status (normalized)</t>
  </si>
  <si>
    <t xml:space="preserve">Projects</t>
  </si>
  <si>
    <t xml:space="preserve">Total units</t>
  </si>
  <si>
    <t xml:space="preserve">Affordable units</t>
  </si>
  <si>
    <t xml:space="preserve">Share of tracked units</t>
  </si>
  <si>
    <t xml:space="preserve">Complete</t>
  </si>
  <si>
    <t xml:space="preserve">Under Construction</t>
  </si>
  <si>
    <t xml:space="preserve">Permitted</t>
  </si>
  <si>
    <t xml:space="preserve">Approved</t>
  </si>
  <si>
    <t xml:space="preserve">Under Review</t>
  </si>
  <si>
    <t xml:space="preserve">Major Multi-Phase (remaining)</t>
  </si>
  <si>
    <t xml:space="preserve">Total</t>
  </si>
  <si>
    <t xml:space="preserve">Note: 'Complete' here = projects ≥10 units completed 2023–2026 YTD only (not all-time). Multi-phase remainders are unit counts from the Pipeline Report, not project rows with detail.</t>
  </si>
  <si>
    <t xml:space="preserve">C. Units by size bucket × status (SUMIFS on Projects)</t>
  </si>
  <si>
    <t xml:space="preserve">Size bucket (total units)</t>
  </si>
  <si>
    <t xml:space="preserve">All</t>
  </si>
  <si>
    <t xml:space="preserve">≤4</t>
  </si>
  <si>
    <t xml:space="preserve">5–10</t>
  </si>
  <si>
    <t xml:space="preserve">11–20</t>
  </si>
  <si>
    <t xml:space="preserve">21–50</t>
  </si>
  <si>
    <t xml:space="preserve">51–250</t>
  </si>
  <si>
    <t xml:space="preserve">251+</t>
  </si>
  <si>
    <t xml:space="preserve">All buckets</t>
  </si>
  <si>
    <t xml:space="preserve">D. Project count by size bucket × status (COUNTIFS on Projects)</t>
  </si>
  <si>
    <t xml:space="preserve">E. Completions tracked by year (projects ≥10 units)</t>
  </si>
  <si>
    <t xml:space="preserve">Year completed</t>
  </si>
  <si>
    <t xml:space="preserve">Total units (tracked)</t>
  </si>
  <si>
    <t xml:space="preserve">Affordable units (tracked)</t>
  </si>
  <si>
    <t xml:space="preserve">Official new-construction units (HI)</t>
  </si>
  <si>
    <t xml:space="preserve">Official affordable units (HI)</t>
  </si>
  <si>
    <t xml:space="preserve">Tracked totals exceed official new-construction counts where multi-year projects TCO'd partially (e.g., 921 Howard, 600 7th) or completed units are counted by HI in a prior/later year. 2026 = H1 only; 2026 rows are MOHCD-estimated completions, verify on the Housing Dashboard.</t>
  </si>
  <si>
    <t xml:space="preserve">F. Affordable units tracked by Supervisor District (all statuses except Complete)</t>
  </si>
  <si>
    <t xml:space="preserve">Supervisor District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</si>
  <si>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</si>
  <si>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</si>
  <si>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</si>
  <si>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</si>
  <si>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</si>
  <si>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</si>
  <si>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</si>
  <si>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</si>
  <si>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</si>
  <si>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</si>
  <si>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</si>
  <si>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Housing stock — citywide and by neighborhood</t>
  </si>
  <si>
    <t xml:space="preserve">A. Citywide housing stock by building type (SF Planning)</t>
  </si>
  <si>
    <t xml:space="preserve">Year-end</t>
  </si>
  <si>
    <t xml:space="preserve">Single family</t>
  </si>
  <si>
    <t xml:space="preserve">2–4 units</t>
  </si>
  <si>
    <t xml:space="preserve">5–9 units</t>
  </si>
  <si>
    <t xml:space="preserve">10–19 units</t>
  </si>
  <si>
    <t xml:space="preserve">20+ units</t>
  </si>
  <si>
    <t xml:space="preserve">2024 (restated in HI 2025)</t>
  </si>
  <si>
    <t xml:space="preserve">HI 2025 Table 1</t>
  </si>
  <si>
    <t xml:space="preserve">2025 net change</t>
  </si>
  <si>
    <t xml:space="preserve">2024 (as published in HI 2024)</t>
  </si>
  <si>
    <t xml:space="preserve">HI 2024 Table 1 — superseded</t>
  </si>
  <si>
    <t xml:space="preserve">2023 (as published in HI 2024)</t>
  </si>
  <si>
    <t xml:space="preserve">Share of 2025 stock</t>
  </si>
  <si>
    <t xml:space="preserve">Building-type split reset in the 2024 report (2020 Census baseline + ACS ratios). The 2023 report showed 122,816 single-family; later reports show ~95k. Use the latest report's series.</t>
  </si>
  <si>
    <t xml:space="preserve">B. Tenure, vacancy, age of stock (Census ACS / HUD)</t>
  </si>
  <si>
    <t xml:space="preserve">Note</t>
  </si>
  <si>
    <t xml:space="preserve">Total housing inventory (HUD CMAR, SF submarket, current)</t>
  </si>
  <si>
    <t xml:space="preserve">HUD Comprehensive Housing Market Analysis, SF-Redwood City-SSF, 2024</t>
  </si>
  <si>
    <t xml:space="preserve">Occupied units</t>
  </si>
  <si>
    <t xml:space="preserve">HUD CMAR 2024</t>
  </si>
  <si>
    <t xml:space="preserve">Owner-occupied share</t>
  </si>
  <si>
    <t xml:space="preserve">32.6%</t>
  </si>
  <si>
    <t xml:space="preserve">of occupied units</t>
  </si>
  <si>
    <t xml:space="preserve">Renter-occupied share</t>
  </si>
  <si>
    <t xml:space="preserve">67.4%</t>
  </si>
  <si>
    <t xml:space="preserve">Vacant units (all categories)</t>
  </si>
  <si>
    <t xml:space="preserve">≈9.6% of inventory; ACS 'vacant' includes seasonal, sold/rented-not-occupied, under repair</t>
  </si>
  <si>
    <t xml:space="preserve">Vacant — for rent share of vacant</t>
  </si>
  <si>
    <t xml:space="preserve">26.5%</t>
  </si>
  <si>
    <t xml:space="preserve">ACS 5-yr</t>
  </si>
  <si>
    <t xml:space="preserve">Social Explorer / ACS 5-year (SF County)</t>
  </si>
  <si>
    <t xml:space="preserve">Vacant — for sale share of vacant</t>
  </si>
  <si>
    <t xml:space="preserve">2.5%</t>
  </si>
  <si>
    <t xml:space="preserve">Social Explorer / ACS 5-year</t>
  </si>
  <si>
    <t xml:space="preserve">Median year structure built</t>
  </si>
  <si>
    <t xml:space="preserve">ACS 5-year (SF County)</t>
  </si>
  <si>
    <t xml:space="preserve">Built 1939 or earlier</t>
  </si>
  <si>
    <t xml:space="preserve">45.4%</t>
  </si>
  <si>
    <t xml:space="preserve">of housing units</t>
  </si>
  <si>
    <t xml:space="preserve">ACS 5-year via NeighborhoodScout</t>
  </si>
  <si>
    <t xml:space="preserve">Built 1940–1969</t>
  </si>
  <si>
    <t xml:space="preserve">24.7%</t>
  </si>
  <si>
    <t xml:space="preserve">Built 1970–1999</t>
  </si>
  <si>
    <t xml:space="preserve">16.3%</t>
  </si>
  <si>
    <t xml:space="preserve">Built 2000 or later</t>
  </si>
  <si>
    <t xml:space="preserve">13.6%</t>
  </si>
  <si>
    <t xml:space="preserve">Single-unit structures share</t>
  </si>
  <si>
    <t xml:space="preserve">30.9%</t>
  </si>
  <si>
    <t xml:space="preserve">ACS 5-yr; SF Planning building-type table above is the operative series</t>
  </si>
  <si>
    <t xml:space="preserve">ACS 5-year</t>
  </si>
  <si>
    <t xml:space="preserve">Multi-unit structures share</t>
  </si>
  <si>
    <t xml:space="preserve">68.9%</t>
  </si>
  <si>
    <t xml:space="preserve">Residential hotel (SRO) rooms</t>
  </si>
  <si>
    <t xml:space="preserve">497 buildings (375 for-profit / 122 nonprofit)</t>
  </si>
  <si>
    <t xml:space="preserve">HI 2025 Table 20 (DBI)</t>
  </si>
  <si>
    <t xml:space="preserve">New condominiums recorded 2025</t>
  </si>
  <si>
    <t xml:space="preserve">vs 813 in 2024</t>
  </si>
  <si>
    <t xml:space="preserve">HI 2025 Table 16 (DPW)</t>
  </si>
  <si>
    <t xml:space="preserve">ADUs added or legalized 2025</t>
  </si>
  <si>
    <t xml:space="preserve">folded into totals above</t>
  </si>
  <si>
    <t xml:space="preserve">HI 2025 Table 9</t>
  </si>
  <si>
    <t xml:space="preserve">Refresh age/tenure from data.census.gov table DP04 (ACS 1-year, San Francisco County) — cadence: annually each September.</t>
  </si>
  <si>
    <t xml:space="preserve">C. Housing stock by Analysis Neighborhood, year-end 2025 (HI 2025 Table 28) + 2025 net gain (Table 27)</t>
  </si>
  <si>
    <t xml:space="preserve">Analysis Neighborhood</t>
  </si>
  <si>
    <t xml:space="preserve">Total 2025</t>
  </si>
  <si>
    <t xml:space="preserve">Net gain 2025</t>
  </si>
  <si>
    <t xml:space="preserve">New-construction units 2025</t>
  </si>
  <si>
    <t xml:space="preserve">Bayview Hunters Point</t>
  </si>
  <si>
    <t xml:space="preserve">Bernal Heights</t>
  </si>
  <si>
    <t xml:space="preserve">Castro/Upper Market</t>
  </si>
  <si>
    <t xml:space="preserve">Chinatown</t>
  </si>
  <si>
    <t xml:space="preserve">Excelsior</t>
  </si>
  <si>
    <t xml:space="preserve">Financial District/South Beach</t>
  </si>
  <si>
    <t xml:space="preserve">Glen Park</t>
  </si>
  <si>
    <t xml:space="preserve">Golden Gate Park</t>
  </si>
  <si>
    <t xml:space="preserve">Haight Ashbury</t>
  </si>
  <si>
    <t xml:space="preserve">Hayes Valley</t>
  </si>
  <si>
    <t xml:space="preserve">Inner Richmond</t>
  </si>
  <si>
    <t xml:space="preserve">Inner Sunset</t>
  </si>
  <si>
    <t xml:space="preserve">Japantown</t>
  </si>
  <si>
    <t xml:space="preserve">Lakeshore</t>
  </si>
  <si>
    <t xml:space="preserve">Lincoln Park</t>
  </si>
  <si>
    <t xml:space="preserve">Lone Mountain/USF</t>
  </si>
  <si>
    <t xml:space="preserve">Marina</t>
  </si>
  <si>
    <t xml:space="preserve">McLaren Park</t>
  </si>
  <si>
    <t xml:space="preserve">Mission</t>
  </si>
  <si>
    <t xml:space="preserve">Mission Bay</t>
  </si>
  <si>
    <t xml:space="preserve">Nob Hill</t>
  </si>
  <si>
    <t xml:space="preserve">Noe Valley</t>
  </si>
  <si>
    <t xml:space="preserve">North Beach</t>
  </si>
  <si>
    <t xml:space="preserve">Oceanview/Merced/Ingleside</t>
  </si>
  <si>
    <t xml:space="preserve">Outer Mission</t>
  </si>
  <si>
    <t xml:space="preserve">Outer Richmond</t>
  </si>
  <si>
    <t xml:space="preserve">Pacific Heights</t>
  </si>
  <si>
    <t xml:space="preserve">Portola</t>
  </si>
  <si>
    <t xml:space="preserve">Potrero Hill</t>
  </si>
  <si>
    <t xml:space="preserve">Presidio</t>
  </si>
  <si>
    <t xml:space="preserve">Presidio Heights</t>
  </si>
  <si>
    <t xml:space="preserve">Russian Hill</t>
  </si>
  <si>
    <t xml:space="preserve">Seacliff</t>
  </si>
  <si>
    <t xml:space="preserve">South of Market</t>
  </si>
  <si>
    <t xml:space="preserve">Sunset/Parkside</t>
  </si>
  <si>
    <t xml:space="preserve">Tenderloin</t>
  </si>
  <si>
    <t xml:space="preserve">Treasure Island</t>
  </si>
  <si>
    <t xml:space="preserve">Twin Peaks</t>
  </si>
  <si>
    <t xml:space="preserve">Visitacion Valley</t>
  </si>
  <si>
    <t xml:space="preserve">West of Twin Peaks</t>
  </si>
  <si>
    <t xml:space="preserve">Western Addition</t>
  </si>
  <si>
    <t xml:space="preserve">Citywide (check)</t>
  </si>
  <si>
    <t xml:space="preserve">Housing production trend, 2006–2026 H1 (SF Planning Housing Inventory 2025, Table 2)</t>
  </si>
  <si>
    <t xml:space="preserve">Year</t>
  </si>
  <si>
    <t xml:space="preserve">Net units authorized for construction</t>
  </si>
  <si>
    <t xml:space="preserve">Units completed from new construction</t>
  </si>
  <si>
    <t xml:space="preserve">Units demolished</t>
  </si>
  <si>
    <t xml:space="preserve">Units gained/lost from alterations</t>
  </si>
  <si>
    <t xml:space="preserve">Net change in units</t>
  </si>
  <si>
    <t xml:space="preserve">HI 2025 Table 2</t>
  </si>
  <si>
    <t xml:space="preserve">2026 H1</t>
  </si>
  <si>
    <t xml:space="preserve">SF Planning Housing Dashboard via The Frisc (Jul 2026); 'ready for occupancy'</t>
  </si>
  <si>
    <t xml:space="preserve">10-yr avg 2016–2025</t>
  </si>
  <si>
    <t xml:space="preserve">New units added by building type, 2021–2025 (HI 2025 Table 13; includes ADUs and alterations)</t>
  </si>
  <si>
    <t xml:space="preserve">2–4</t>
  </si>
  <si>
    <t xml:space="preserve">5–9</t>
  </si>
  <si>
    <t xml:space="preserve">10–19</t>
  </si>
  <si>
    <t xml:space="preserve">20+</t>
  </si>
  <si>
    <t xml:space="preserve">New affordable units by income level, 2021–2025 (HI 2025 Table 23)</t>
  </si>
  <si>
    <t xml:space="preserve">Extremely Low (≤30% AMI)</t>
  </si>
  <si>
    <t xml:space="preserve">Very Low (≤50%)</t>
  </si>
  <si>
    <t xml:space="preserve">Low (≤80%)</t>
  </si>
  <si>
    <t xml:space="preserve">Moderate (≤120%)</t>
  </si>
  <si>
    <t xml:space="preserve">Moderate non-deed-restricted (ADUs)</t>
  </si>
  <si>
    <t xml:space="preserve">Total affordable</t>
  </si>
  <si>
    <t xml:space="preserve">Total all new units</t>
  </si>
  <si>
    <t xml:space="preserve">Affordable share</t>
  </si>
  <si>
    <t xml:space="preserve">Affordable production by source, 2021–2025 (HI 2025 Table 24)</t>
  </si>
  <si>
    <t xml:space="preserve">Inclusionary units</t>
  </si>
  <si>
    <t xml:space="preserve">100% affordable units</t>
  </si>
  <si>
    <t xml:space="preserve">ADU / legalizations</t>
  </si>
  <si>
    <t xml:space="preserve">Units authorized for construction by building type, 2021–2025 (HI 2025 Table 4)</t>
  </si>
  <si>
    <t xml:space="preserve">Total new units</t>
  </si>
  <si>
    <t xml:space="preserve">Planning filings and approvals, 2021–2025 (HI 2025 Table 3)</t>
  </si>
  <si>
    <t xml:space="preserve">Projects filed</t>
  </si>
  <si>
    <t xml:space="preserve">Units filed</t>
  </si>
  <si>
    <t xml:space="preserve">Projects approved</t>
  </si>
  <si>
    <t xml:space="preserve">Units approved</t>
  </si>
  <si>
    <t xml:space="preserve">SF Planning Housing Development Pipeline — 2026 Q2 snapshot (projects and permits as of April 2026)</t>
  </si>
  <si>
    <t xml:space="preserve">Stage</t>
  </si>
  <si>
    <t xml:space="preserve">New pipeline units</t>
  </si>
  <si>
    <t xml:space="preserve">Share</t>
  </si>
  <si>
    <t xml:space="preserve">Definition</t>
  </si>
  <si>
    <t xml:space="preserve">Issued full building permit, or site permit + approved first construction document</t>
  </si>
  <si>
    <t xml:space="preserve">Building Permits Issued (site permit)</t>
  </si>
  <si>
    <t xml:space="preserve">Site permit issued, no FCD yet; not counted toward RHNA</t>
  </si>
  <si>
    <t xml:space="preserve">Building Permits Approved</t>
  </si>
  <si>
    <t xml:space="preserve">Permit approved by DBI, not yet issued</t>
  </si>
  <si>
    <t xml:space="preserve">Building Permits Filed</t>
  </si>
  <si>
    <t xml:space="preserve">Includes estimated inclusionary units for projects that haven't declared method</t>
  </si>
  <si>
    <t xml:space="preserve">Building Permits Not Yet Filed (entitled)</t>
  </si>
  <si>
    <t xml:space="preserve">Planning approval granted; no building permit application</t>
  </si>
  <si>
    <t xml:space="preserve">Applications Filed (Under Review)</t>
  </si>
  <si>
    <t xml:space="preserve">Planning application filed; includes ministerial projects with BP filed</t>
  </si>
  <si>
    <t xml:space="preserve">Major Multi-Phased Projects (remaining)</t>
  </si>
  <si>
    <t xml:space="preserve">Entitled master plans; un-permitted phases only</t>
  </si>
  <si>
    <t xml:space="preserve">Total new pipeline units</t>
  </si>
  <si>
    <t xml:space="preserve">New affordable units in pipeline</t>
  </si>
  <si>
    <t xml:space="preserve">Includes estimated inclusionary units; boosted by MOHCD Affordable Housing Pipeline data fill-in</t>
  </si>
  <si>
    <t xml:space="preserve">Source: https://sfplanning.org/project/pipeline-report (PDF: Housing_Production_Development_Pipeline-2026Q2.pdf). Under-construction units were 4,545 five years earlier; 'permits not yet filed' was 448 (The Frisc).</t>
  </si>
  <si>
    <t xml:space="preserve">Major multi-phase projects — remaining units (Pipeline Report 2026 Q2)</t>
  </si>
  <si>
    <t xml:space="preserve">Project</t>
  </si>
  <si>
    <t xml:space="preserve">Remaining units</t>
  </si>
  <si>
    <t xml:space="preserve">Master developer (per public sources)</t>
  </si>
  <si>
    <t xml:space="preserve">Candlestick Point / Hunters Point Shipyard</t>
  </si>
  <si>
    <t xml:space="preserve">FivePoint (Lennar)</t>
  </si>
  <si>
    <t xml:space="preserve">Treasure Island Community Development (Wilson Meany / Stockbridge / Lennar)</t>
  </si>
  <si>
    <t xml:space="preserve">Parkmerced</t>
  </si>
  <si>
    <t xml:space="preserve">Maximus Real Estate Partners</t>
  </si>
  <si>
    <t xml:space="preserve">Flower Mart (Central SoMa)</t>
  </si>
  <si>
    <t xml:space="preserve">Kilroy Realty</t>
  </si>
  <si>
    <t xml:space="preserve">Stonestown</t>
  </si>
  <si>
    <t xml:space="preserve">Brookfield Properties</t>
  </si>
  <si>
    <t xml:space="preserve">HopeSF (Potrero + Sunnydale)</t>
  </si>
  <si>
    <t xml:space="preserve">BRIDGE Housing; Mercy Housing/Related</t>
  </si>
  <si>
    <t xml:space="preserve">Potrero Power Plant / Power Station</t>
  </si>
  <si>
    <t xml:space="preserve">Associate Capital</t>
  </si>
  <si>
    <t xml:space="preserve">Pier 70</t>
  </si>
  <si>
    <t xml:space="preserve">India Basin</t>
  </si>
  <si>
    <t xml:space="preserve">BUILD Inc</t>
  </si>
  <si>
    <t xml:space="preserve">Mission Rock</t>
  </si>
  <si>
    <t xml:space="preserve">SF Giants / Tishman Speyer</t>
  </si>
  <si>
    <t xml:space="preserve">Schlage Lock</t>
  </si>
  <si>
    <t xml:space="preserve">(not assigned)</t>
  </si>
  <si>
    <t xml:space="preserve">3333 California (Laurel Heights)</t>
  </si>
  <si>
    <t xml:space="preserve">Prado Group / SKS Partners</t>
  </si>
  <si>
    <t xml:space="preserve">Balboa Reservoir</t>
  </si>
  <si>
    <t xml:space="preserve">BRIDGE / AvalonBay</t>
  </si>
  <si>
    <t xml:space="preserve">5M</t>
  </si>
  <si>
    <t xml:space="preserve">Density bonus pipeline (HI 2025 Tables 11–12, Dec 2025): 93 State Density Bonus projects = 17,554 units (4,175 affordable); 11 HOME-SF projects = 422 units (112 affordable).</t>
  </si>
  <si>
    <t xml:space="preserve">Project ID</t>
  </si>
  <si>
    <t xml:space="preserve">Project Name</t>
  </si>
  <si>
    <t xml:space="preserve">Project Address</t>
  </si>
  <si>
    <t xml:space="preserve">Status (raw, source)</t>
  </si>
  <si>
    <t xml:space="preserve">Project Type</t>
  </si>
  <si>
    <t xml:space="preserve">Tenure</t>
  </si>
  <si>
    <t xml:space="preserve">Total Units</t>
  </si>
  <si>
    <t xml:space="preserve">Affordable Units</t>
  </si>
  <si>
    <t xml:space="preserve">Affordability mix (units @ AMI)</t>
  </si>
  <si>
    <t xml:space="preserve">Size Bucket</t>
  </si>
  <si>
    <t xml:space="preserve">Developer / Sponsor</t>
  </si>
  <si>
    <t xml:space="preserve">Co-developer / Partner</t>
  </si>
  <si>
    <t xml:space="preserve">General Contractor</t>
  </si>
  <si>
    <t xml:space="preserve">Architect</t>
  </si>
  <si>
    <t xml:space="preserve">Total Project Cost ($)</t>
  </si>
  <si>
    <t xml:space="preserve">Equity Partners</t>
  </si>
  <si>
    <t xml:space="preserve">Equity $</t>
  </si>
  <si>
    <t xml:space="preserve">Lenders</t>
  </si>
  <si>
    <t xml:space="preserve">Loan $</t>
  </si>
  <si>
    <t xml:space="preserve">Est./Actual Completion</t>
  </si>
  <si>
    <t xml:space="preserve">Year Completed</t>
  </si>
  <si>
    <t xml:space="preserve">Notes / Milestones</t>
  </si>
  <si>
    <t xml:space="preserve">Source URL</t>
  </si>
  <si>
    <t xml:space="preserve">C23-01</t>
  </si>
  <si>
    <t xml:space="preserve">198 McAllister (UC Law SF student housing)</t>
  </si>
  <si>
    <t xml:space="preserve">198 McAllister St</t>
  </si>
  <si>
    <t xml:space="preserve">Completed 2023 (HI 2023 A-1)</t>
  </si>
  <si>
    <t xml:space="preserve">Student Housing</t>
  </si>
  <si>
    <t xml:space="preserve">Rental</t>
  </si>
  <si>
    <t xml:space="preserve">UC Law SF / Greystar</t>
  </si>
  <si>
    <t xml:space="preserve">Authorized Feb 2023; largest 2023 completion</t>
  </si>
  <si>
    <t xml:space="preserve">https://sfplanning.org/sites/default/files/resources/2024-04/2023_Housing_Inventory.pdf</t>
  </si>
  <si>
    <t xml:space="preserve">C23-02</t>
  </si>
  <si>
    <t xml:space="preserve">1011 3rd St (Mission Rock Bldg)</t>
  </si>
  <si>
    <t xml:space="preserve">1011 3rd St</t>
  </si>
  <si>
    <t xml:space="preserve">Completed 2023 (HI 2023 A-1/A-2)</t>
  </si>
  <si>
    <t xml:space="preserve">Mixed-Use</t>
  </si>
  <si>
    <t xml:space="preserve">64 @ Moderate (80-120% AMI)</t>
  </si>
  <si>
    <t xml:space="preserve">Mission Rock Partners (SF Giants / Tishman Speyer)</t>
  </si>
  <si>
    <t xml:space="preserve">Authorized Feb 2023</t>
  </si>
  <si>
    <t xml:space="preserve">C23-03</t>
  </si>
  <si>
    <t xml:space="preserve">65 Ocean Ave (Ventana Residences)</t>
  </si>
  <si>
    <t xml:space="preserve">65 Ocean Ave</t>
  </si>
  <si>
    <t xml:space="preserve">34 @ Low (50-80%); 14 @ Moderate</t>
  </si>
  <si>
    <t xml:space="preserve">Greystar</t>
  </si>
  <si>
    <t xml:space="preserve">C23-04</t>
  </si>
  <si>
    <t xml:space="preserve">1629 Market St</t>
  </si>
  <si>
    <t xml:space="preserve">C23-05</t>
  </si>
  <si>
    <t xml:space="preserve">52 Kirkwood Ave</t>
  </si>
  <si>
    <t xml:space="preserve">New Construction</t>
  </si>
  <si>
    <t xml:space="preserve">68 of 77 units completed in 2023</t>
  </si>
  <si>
    <t xml:space="preserve">C23-06</t>
  </si>
  <si>
    <t xml:space="preserve">2750 19th St</t>
  </si>
  <si>
    <t xml:space="preserve">11 @ Low (50-80%)</t>
  </si>
  <si>
    <t xml:space="preserve">C23-07</t>
  </si>
  <si>
    <t xml:space="preserve">1570 Pacific Ave</t>
  </si>
  <si>
    <t xml:space="preserve">Ownership</t>
  </si>
  <si>
    <t xml:space="preserve">C23-08</t>
  </si>
  <si>
    <t xml:space="preserve">530 Brannan St</t>
  </si>
  <si>
    <t xml:space="preserve">10 units completed 2023; 32 prior</t>
  </si>
  <si>
    <t xml:space="preserve">C23-09</t>
  </si>
  <si>
    <t xml:space="preserve">2525 Van Ness Ave</t>
  </si>
  <si>
    <t xml:space="preserve">C23-10</t>
  </si>
  <si>
    <t xml:space="preserve">603 Tennessee St</t>
  </si>
  <si>
    <t xml:space="preserve">C23-11</t>
  </si>
  <si>
    <t xml:space="preserve">921 Howard St (100% affordable)</t>
  </si>
  <si>
    <t xml:space="preserve">921 Howard St</t>
  </si>
  <si>
    <t xml:space="preserve">Completed 2023 (HI 2023 A-2)</t>
  </si>
  <si>
    <t xml:space="preserve">100% Affordable</t>
  </si>
  <si>
    <t xml:space="preserve">102 @ Low (50-80%); 99 @ Moderate</t>
  </si>
  <si>
    <t xml:space="preserve">Perry Architects</t>
  </si>
  <si>
    <t xml:space="preserve">195 of 203 units completed in 2023</t>
  </si>
  <si>
    <t xml:space="preserve">C23-12</t>
  </si>
  <si>
    <t xml:space="preserve">2340 San Jose Ave (Balboa Park Upper Yard)</t>
  </si>
  <si>
    <t xml:space="preserve">2340 San Jose Ave</t>
  </si>
  <si>
    <t xml:space="preserve">88 @ Very Low (&lt;=50%); 24 @ Low; 18 @ Moderate</t>
  </si>
  <si>
    <t xml:space="preserve">Related California</t>
  </si>
  <si>
    <t xml:space="preserve">Mission Housing Development Corp</t>
  </si>
  <si>
    <t xml:space="preserve">C23-13</t>
  </si>
  <si>
    <t xml:space="preserve">440 Geary St</t>
  </si>
  <si>
    <t xml:space="preserve">21 @ Very Low (&lt;=50%)</t>
  </si>
  <si>
    <t xml:space="preserve">C23-14</t>
  </si>
  <si>
    <t xml:space="preserve">Treasure Island (1 Avenue of the Palms, 2023 phase)</t>
  </si>
  <si>
    <t xml:space="preserve">1 Avenue of the Palms</t>
  </si>
  <si>
    <t xml:space="preserve">Major Multi-Phase</t>
  </si>
  <si>
    <t xml:space="preserve">105 @ Low (50-80%)</t>
  </si>
  <si>
    <t xml:space="preserve">96 of 105 completed in 2023</t>
  </si>
  <si>
    <t xml:space="preserve">C23-15</t>
  </si>
  <si>
    <t xml:space="preserve">363 Noe St</t>
  </si>
  <si>
    <t xml:space="preserve">100% Affordable (acq/rehab)</t>
  </si>
  <si>
    <t xml:space="preserve">20 @ Very Low (&lt;=50%)</t>
  </si>
  <si>
    <t xml:space="preserve">21 of 43 completed 2023</t>
  </si>
  <si>
    <t xml:space="preserve">C24-01</t>
  </si>
  <si>
    <t xml:space="preserve">1070 Bridgeview Way (Mission Rock)</t>
  </si>
  <si>
    <t xml:space="preserve">1070 Bridgeview Way</t>
  </si>
  <si>
    <t xml:space="preserve">Completed 2024 (HI 2024 A-1/A-2)</t>
  </si>
  <si>
    <t xml:space="preserve">59 @ Moderate (80-120%)</t>
  </si>
  <si>
    <t xml:space="preserve">https://sfplanning.org/sites/default/files/resources/2025-04/2024_Housing%20Inventory.pdf</t>
  </si>
  <si>
    <t xml:space="preserve">C24-02</t>
  </si>
  <si>
    <t xml:space="preserve">Treasure Island: Star View Court + Tidal House (1 Avenue of the Palms)</t>
  </si>
  <si>
    <t xml:space="preserve">71 @ Very Low; 55 @ Low; 12 @ Moderate</t>
  </si>
  <si>
    <t xml:space="preserve">Star View Court: Mercy Housing CA + Catholic Charities (138 units)</t>
  </si>
  <si>
    <t xml:space="preserve">388 units incl. 250 market-rate + 138 affordable (Star View Court)</t>
  </si>
  <si>
    <t xml:space="preserve">C24-03</t>
  </si>
  <si>
    <t xml:space="preserve">36 Meadow Dr</t>
  </si>
  <si>
    <t xml:space="preserve">Completed 2024 (HI 2024 A-1)</t>
  </si>
  <si>
    <t xml:space="preserve">C24-04</t>
  </si>
  <si>
    <t xml:space="preserve">400 China Basin St (Mission Bay affordable)</t>
  </si>
  <si>
    <t xml:space="preserve">400 China Basin St</t>
  </si>
  <si>
    <t xml:space="preserve">Completed 2024 (HI 2024 A-2)</t>
  </si>
  <si>
    <t xml:space="preserve">29 @ Low (50-80%); 119 @ Moderate</t>
  </si>
  <si>
    <t xml:space="preserve">C24-05</t>
  </si>
  <si>
    <t xml:space="preserve">4840 Mission St</t>
  </si>
  <si>
    <t xml:space="preserve">98 @ Low (50-80%); 37 @ Moderate</t>
  </si>
  <si>
    <t xml:space="preserve">BRIDGE Housing</t>
  </si>
  <si>
    <t xml:space="preserve">C24-06</t>
  </si>
  <si>
    <t xml:space="preserve">1360 43rd Ave (Shirley Chisholm Village, educator housing)</t>
  </si>
  <si>
    <t xml:space="preserve">1360 43rd Ave</t>
  </si>
  <si>
    <t xml:space="preserve">20 @ Very Low; 47 @ Low; 67 @ Moderate</t>
  </si>
  <si>
    <t xml:space="preserve">MidPen Housing</t>
  </si>
  <si>
    <t xml:space="preserve">SFUSD (site)</t>
  </si>
  <si>
    <t xml:space="preserve">BAR Architects</t>
  </si>
  <si>
    <t xml:space="preserve">C24-07</t>
  </si>
  <si>
    <t xml:space="preserve">600 7th St (Potrero Terrace HOPE SF Block X / 1101 Connecticut)</t>
  </si>
  <si>
    <t xml:space="preserve">600 7th St</t>
  </si>
  <si>
    <t xml:space="preserve">65 @ Ext. Low (&lt;=30%); 78 @ Very Low; 77 @ Low</t>
  </si>
  <si>
    <t xml:space="preserve">100 of 221 units completed in 2024</t>
  </si>
  <si>
    <t xml:space="preserve">C24-08</t>
  </si>
  <si>
    <t xml:space="preserve">180 Jones St</t>
  </si>
  <si>
    <t xml:space="preserve">35 @ Ext. Low; 13 @ Very Low; 21 @ Low</t>
  </si>
  <si>
    <t xml:space="preserve">Tenderloin Neighborhood Development Corp (TNDC)</t>
  </si>
  <si>
    <t xml:space="preserve">C25-01</t>
  </si>
  <si>
    <t xml:space="preserve">Quincy (555 Bryant St)</t>
  </si>
  <si>
    <t xml:space="preserve">555 Bryant St</t>
  </si>
  <si>
    <t xml:space="preserve">Completed 2025 (HI 2025 A-1/A-2)</t>
  </si>
  <si>
    <t xml:space="preserve">46 @ Very Low; 16 @ Low; 16 @ Moderate</t>
  </si>
  <si>
    <t xml:space="preserve">Strada Investment Group</t>
  </si>
  <si>
    <t xml:space="preserve">Solomon Cordwell Buenz (SCB)</t>
  </si>
  <si>
    <t xml:space="preserve">Opened May 2025; 16 stories; land bought for $44.9M; CoStar 2026 Impact Award - fastest lease-up since 2013</t>
  </si>
  <si>
    <t xml:space="preserve">https://www.costar.com/article/147377327</t>
  </si>
  <si>
    <t xml:space="preserve">C25-02</t>
  </si>
  <si>
    <t xml:space="preserve">55 Bruton St</t>
  </si>
  <si>
    <t xml:space="preserve">Completed 2025 (HI 2025 A-1)</t>
  </si>
  <si>
    <t xml:space="preserve">https://sfplanning.org/sites/default/files/resources/2026-04/2025_Housing_Inventory.pdf</t>
  </si>
  <si>
    <t xml:space="preserve">C25-03</t>
  </si>
  <si>
    <t xml:space="preserve">377 6th St</t>
  </si>
  <si>
    <t xml:space="preserve">12 @ Low (50-80%)</t>
  </si>
  <si>
    <t xml:space="preserve">C25-04</t>
  </si>
  <si>
    <t xml:space="preserve">4742 Mission St</t>
  </si>
  <si>
    <t xml:space="preserve">9 @ Low; 3 @ Moderate</t>
  </si>
  <si>
    <t xml:space="preserve">C25-05</t>
  </si>
  <si>
    <t xml:space="preserve">915 North Point St</t>
  </si>
  <si>
    <t xml:space="preserve">Authorized Nov 2023</t>
  </si>
  <si>
    <t xml:space="preserve">C25-06</t>
  </si>
  <si>
    <t xml:space="preserve">2100 Mission St</t>
  </si>
  <si>
    <t xml:space="preserve">C25-07</t>
  </si>
  <si>
    <t xml:space="preserve">693 Sutter St</t>
  </si>
  <si>
    <t xml:space="preserve">C25-08</t>
  </si>
  <si>
    <t xml:space="preserve">986 South Van Ness Ave</t>
  </si>
  <si>
    <t xml:space="preserve">C25-09</t>
  </si>
  <si>
    <t xml:space="preserve">Sunnydale HOPE SF Block 3B (1501 Sunnydale Ave)</t>
  </si>
  <si>
    <t xml:space="preserve">1501 Sunnydale Ave</t>
  </si>
  <si>
    <t xml:space="preserve">Completed 2025 (HI 2025 A-2)</t>
  </si>
  <si>
    <t xml:space="preserve">100% Affordable (HOPE SF)</t>
  </si>
  <si>
    <t xml:space="preserve">127 @ Very Low (&lt;=50%); 41 @ Low</t>
  </si>
  <si>
    <t xml:space="preserve">Mercy Housing California</t>
  </si>
  <si>
    <t xml:space="preserve">Authorized Mar 2023</t>
  </si>
  <si>
    <t xml:space="preserve">C25-10</t>
  </si>
  <si>
    <t xml:space="preserve">730 Stanyan St</t>
  </si>
  <si>
    <t xml:space="preserve">56 @ Ext. Low; 36 @ Very Low; 67 @ Low (25-80% AMI); 20 TAY units; 32 PBV</t>
  </si>
  <si>
    <t xml:space="preserve">Chinatown Community Development Center (CCDC)</t>
  </si>
  <si>
    <t xml:space="preserve">Cahill Contractors / Hercules JV</t>
  </si>
  <si>
    <t xml:space="preserve">OMA (NYC) + Y.A. Studio (SF)</t>
  </si>
  <si>
    <t xml:space="preserve">4% LIHTC equity (investor not disclosed)</t>
  </si>
  <si>
    <t xml:space="preserve">Bank of America (construction); MOHCD (2019 Affordable Housing GO Bond); tax-exempt bonds</t>
  </si>
  <si>
    <t xml:space="preserve">Fall 2025</t>
  </si>
  <si>
    <t xml:space="preserve">Approved Jan 2024; authorized Jun 2023; Type I; Clark Pacific Infinite Facade GFRC panels; $153.2M per SF.gov, $155M per CCDC</t>
  </si>
  <si>
    <t xml:space="preserve">https://www.chinatowncdc.org/our-housing/in-development</t>
  </si>
  <si>
    <t xml:space="preserve">C25-11</t>
  </si>
  <si>
    <t xml:space="preserve">Potrero Terrace Block B (1801 25th St)</t>
  </si>
  <si>
    <t xml:space="preserve">1801 25th St</t>
  </si>
  <si>
    <t xml:space="preserve">49 @ Ext. Low; 72 @ Very Low; 36 @ Low</t>
  </si>
  <si>
    <t xml:space="preserve">HKIT Architects</t>
  </si>
  <si>
    <t xml:space="preserve">Cover project of 2025 Housing Inventory</t>
  </si>
  <si>
    <t xml:space="preserve">C25-12</t>
  </si>
  <si>
    <t xml:space="preserve">Transbay Block 2 West - Senior (200 Folsom St)</t>
  </si>
  <si>
    <t xml:space="preserve">200 Folsom St</t>
  </si>
  <si>
    <t xml:space="preserve">100% Affordable (senior)</t>
  </si>
  <si>
    <t xml:space="preserve">24 @ Ext. Low; 66 @ Very Low; 60 @ Low (15-50% AMI); 30 PSH units</t>
  </si>
  <si>
    <t xml:space="preserve">(see TB2 East for block team)</t>
  </si>
  <si>
    <t xml:space="preserve">4% LIHTC: $6,235,472/yr federal credits (CTCAC CA-23-567); CHPC investor consultant</t>
  </si>
  <si>
    <t xml:space="preserve">City &amp; County of SF (bond issuer, OCII/MOHCD); HUD PBV (60 units); LOSP $11.8M/15 yrs</t>
  </si>
  <si>
    <t xml:space="preserve">Feb 2026 (MOHCD est.); HI counts 2025 TCO</t>
  </si>
  <si>
    <t xml:space="preserve">9-story Type I; groundbreaking 2023; FCD Mar 2024</t>
  </si>
  <si>
    <t xml:space="preserve">https://www.treasurer.ca.gov/ctcac/meeting/2023/0823/staff/CA-23-567.pdf</t>
  </si>
  <si>
    <t xml:space="preserve">C25-13</t>
  </si>
  <si>
    <t xml:space="preserve">1633 Valencia St (senior PSH)</t>
  </si>
  <si>
    <t xml:space="preserve">1633 Valencia St</t>
  </si>
  <si>
    <t xml:space="preserve">100% Affordable (senior PSH)</t>
  </si>
  <si>
    <t xml:space="preserve">145 @ Very Low (15-50% AMI)</t>
  </si>
  <si>
    <t xml:space="preserve">Sequoia Living (site partner); HSH</t>
  </si>
  <si>
    <t xml:space="preserve">David Baker Architects</t>
  </si>
  <si>
    <t xml:space="preserve">Bay Area Housing Innovation Fund ($50M fund: SF Housing Accelerator Fund, Apple, Destination: Home, Sobrato Philanthropies)</t>
  </si>
  <si>
    <t xml:space="preserve">MOHCD permanent up to $41.0M (incl. $2M AHP bridge); LOSP 20-yr $80.8M</t>
  </si>
  <si>
    <t xml:space="preserve">Approved Feb 2023 (SB 35); groundbreaking Jul 2024; built in ~17 months; sub-$600k/unit; 'Chevrolet Six' ghost sign site</t>
  </si>
  <si>
    <t xml:space="preserve">https://www.sf.gov/news/mayor-london-breed-celebrates-groundbreaking-new-senior-housing-development-mission</t>
  </si>
  <si>
    <t xml:space="preserve">C25-14</t>
  </si>
  <si>
    <t xml:space="preserve">1151 Fairfax Ave (Hunters View)</t>
  </si>
  <si>
    <t xml:space="preserve">1151 Fairfax Ave</t>
  </si>
  <si>
    <t xml:space="preserve">14 @ Very Low; 87 @ Low</t>
  </si>
  <si>
    <t xml:space="preserve">John Stewart Company</t>
  </si>
  <si>
    <t xml:space="preserve">Authorized Jun 2023</t>
  </si>
  <si>
    <t xml:space="preserve">C25-15</t>
  </si>
  <si>
    <t xml:space="preserve">240 Van Ness Ave</t>
  </si>
  <si>
    <t xml:space="preserve">30 @ Very Low; 80 @ Low</t>
  </si>
  <si>
    <t xml:space="preserve">C25-16</t>
  </si>
  <si>
    <t xml:space="preserve">1212 Maryland St</t>
  </si>
  <si>
    <t xml:space="preserve">21 @ Very Low; 62 @ Low; 21 @ Moderate</t>
  </si>
  <si>
    <t xml:space="preserve">C25-17</t>
  </si>
  <si>
    <t xml:space="preserve">4200 Geary Blvd</t>
  </si>
  <si>
    <t xml:space="preserve">50 @ Ext. Low; 47 @ Very Low</t>
  </si>
  <si>
    <t xml:space="preserve">C25-18</t>
  </si>
  <si>
    <t xml:space="preserve">351 Friedell St (HP Shipyard)</t>
  </si>
  <si>
    <t xml:space="preserve">351 Friedell St</t>
  </si>
  <si>
    <t xml:space="preserve">66 @ Very Low</t>
  </si>
  <si>
    <t xml:space="preserve">C25-19</t>
  </si>
  <si>
    <t xml:space="preserve">78 Haight St</t>
  </si>
  <si>
    <t xml:space="preserve">35 @ Ext. Low; 17 @ Very Low; 11 @ Low; 1 @ Moderate</t>
  </si>
  <si>
    <t xml:space="preserve">C25-20</t>
  </si>
  <si>
    <t xml:space="preserve">Oscar James Residences (151 Friedell St, HP Shipyard)</t>
  </si>
  <si>
    <t xml:space="preserve">151 Friedell St</t>
  </si>
  <si>
    <t xml:space="preserve">2 @ Ext. Low; 42 @ Very Low (per HI); MOHCD: 4 @ 30%, 9 @ 40%, 97 @ 50%</t>
  </si>
  <si>
    <t xml:space="preserve">Jonathan Rose Companies</t>
  </si>
  <si>
    <t xml:space="preserve">Bayview Hunters Point Multipurpose Senior Services</t>
  </si>
  <si>
    <t xml:space="preserve">HI 2025 shows 45 units completed in 2025; MOHCD est. completion Nov 2025 for 112</t>
  </si>
  <si>
    <t xml:space="preserve">https://data.sfgov.org/Housing-and-Buildings/Affordable-Housing-Pipeline/aaxw-2cb8</t>
  </si>
  <si>
    <t xml:space="preserve">C25-21</t>
  </si>
  <si>
    <t xml:space="preserve">11 Innes Ct (India Basin)</t>
  </si>
  <si>
    <t xml:space="preserve">11 Innes Ct</t>
  </si>
  <si>
    <t xml:space="preserve">72 @ Very Low</t>
  </si>
  <si>
    <t xml:space="preserve">Only 2 of 73 units TCO'd in 2025; balance carries to 2026</t>
  </si>
  <si>
    <t xml:space="preserve">C26-01</t>
  </si>
  <si>
    <t xml:space="preserve">Transbay Block 2 East - Family / Lark Landing (230 Folsom St)</t>
  </si>
  <si>
    <t xml:space="preserve">230 Folsom St</t>
  </si>
  <si>
    <t xml:space="preserve">Construction - FCD issued; est. completion Apr 2026 (MOHCD)</t>
  </si>
  <si>
    <t xml:space="preserve">100% Affordable (family)</t>
  </si>
  <si>
    <t xml:space="preserve">32 @ 30%; 14 @ 40%; 32 @ 50%; 68 @ 60%; 36 @ 80% AMI; 40 LOSP units</t>
  </si>
  <si>
    <t xml:space="preserve">OCII (land); Wu Yee (childcare)</t>
  </si>
  <si>
    <t xml:space="preserve">Swinerton / Rubecon JV</t>
  </si>
  <si>
    <t xml:space="preserve">Kennerly Architecture &amp; Planning; Y.A. Studio (associate)</t>
  </si>
  <si>
    <t xml:space="preserve">4% LIHTC: $9,063,696/yr federal credits (CTCAC CA-23-638); CHPC investor consultant</t>
  </si>
  <si>
    <t xml:space="preserve">City &amp; County of SF construction loan $115,845,218; HCD AHSC; HUD Section 8 PBC</t>
  </si>
  <si>
    <t xml:space="preserve">Apr 2026 (MOHCD est.)</t>
  </si>
  <si>
    <t xml:space="preserve">~$1.03M/unit; 17-story; FCD Jun 2024; likely among 405 units completed H1 2026 (verify via Housing Dashboard)</t>
  </si>
  <si>
    <t xml:space="preserve">https://sfyimby.com/2024/04/sf-supervisors-vote-today-on-115m-loan-for-transbay-block-2-east.html</t>
  </si>
  <si>
    <t xml:space="preserve">C26-02</t>
  </si>
  <si>
    <t xml:space="preserve">2550 Irving St (family affordable)</t>
  </si>
  <si>
    <t xml:space="preserve">2550 Irving St</t>
  </si>
  <si>
    <t xml:space="preserve">Construction - FCD issued Jun 2024; est. completion Feb 2026</t>
  </si>
  <si>
    <t xml:space="preserve">22 @ 40%; 16 @ 55%; 51 @ 60% AMI; 22 LOSP</t>
  </si>
  <si>
    <t xml:space="preserve">Feb 2026 (MOHCD est.)</t>
  </si>
  <si>
    <t xml:space="preserve">First 100% affordable in Outer Sunset; verify completion on Housing Dashboard</t>
  </si>
  <si>
    <t xml:space="preserve">U-01</t>
  </si>
  <si>
    <t xml:space="preserve">300 De Haro St</t>
  </si>
  <si>
    <t xml:space="preserve">Potrero Hill / Showplace Sq</t>
  </si>
  <si>
    <t xml:space="preserve">Construction - FCD issued Jun 2025 (MOHCD)</t>
  </si>
  <si>
    <t xml:space="preserve">100% Affordable (workforce studios)</t>
  </si>
  <si>
    <t xml:space="preserve">58 @ 30%; 150 @ 60%; 217 @ 80% AMI (30-70% per developer)</t>
  </si>
  <si>
    <t xml:space="preserve">DM Development</t>
  </si>
  <si>
    <t xml:space="preserve">MRK Partners</t>
  </si>
  <si>
    <t xml:space="preserve">Thompson Builders</t>
  </si>
  <si>
    <t xml:space="preserve">BAR Architects &amp; Interiors</t>
  </si>
  <si>
    <t xml:space="preserve">R4 Capital (LIHTC syndicator/equity); 4% LIHTC + tax-exempt bonds; NO city subsidy</t>
  </si>
  <si>
    <t xml:space="preserve">Tax-exempt bond financing (issuer/lender not disclosed)</t>
  </si>
  <si>
    <t xml:space="preserve">Mid-2027</t>
  </si>
  <si>
    <t xml:space="preserve">Pivoted from 450 group-housing units (market-rate) to 425 affordable studios; &lt;$500k/unit per developer (cost shown is ~est. 425 x $470k); approved Nov 2024 (SB 330/SB 35); groundbreaking Aug 2025; largest affordable start in SF in 5 years</t>
  </si>
  <si>
    <t xml:space="preserve">https://www.sfchronicle.com/realestate/article/sf-housing-affordable-apartments-20816373.php</t>
  </si>
  <si>
    <t xml:space="preserve">U-02</t>
  </si>
  <si>
    <t xml:space="preserve">Eleven11 Sutter (1101-1123 Sutter St)</t>
  </si>
  <si>
    <t xml:space="preserve">1101-1123 Sutter St</t>
  </si>
  <si>
    <t xml:space="preserve">Construction - FCD issued Mar 2024 (MOHCD); groundbreaking Dec 2025</t>
  </si>
  <si>
    <t xml:space="preserve">Mixed-Income (State Density Bonus)</t>
  </si>
  <si>
    <t xml:space="preserve">11 @ 40%; 79 @ 60%; 11 @ 80% AMI (MOHCD); 4,000 sf childcare</t>
  </si>
  <si>
    <t xml:space="preserve">Martin Building Company (Martin McNerney Development)</t>
  </si>
  <si>
    <t xml:space="preserve">(union GC not disclosed - 100% union build)</t>
  </si>
  <si>
    <t xml:space="preserve">CalHFA Mixed-Income Program (MIP) award; LIHTC equity on BMR component (Sutter BMR, LP)</t>
  </si>
  <si>
    <t xml:space="preserve">CalHFA conduit tax-exempt bonds up to $49M + taxable up to $2M (BMR component)</t>
  </si>
  <si>
    <t xml:space="preserve">Late 2027 (~23 months)</t>
  </si>
  <si>
    <t xml:space="preserve">22-story tower; retains historic auto-row garage; 75 studios/58 1BR/128 2BR/31 3BR/11 4BR</t>
  </si>
  <si>
    <t xml:space="preserve">https://www.calhfa.ca.gov/multifamily/mixedincome/approved/20250623-Sutter-Street.pdf</t>
  </si>
  <si>
    <t xml:space="preserve">U-03</t>
  </si>
  <si>
    <t xml:space="preserve">Casa Adelante - 1515 South Van Ness</t>
  </si>
  <si>
    <t xml:space="preserve">1515 South Van Ness Ave</t>
  </si>
  <si>
    <t xml:space="preserve">Construction - FCD issued Jun 2024; groundbreaking Apr 2025</t>
  </si>
  <si>
    <t xml:space="preserve">40 @ 30%; 19 @ 40%; 15 @ 50%; 93 @ 60% AMI; 42 LOSP; 5 PLUS Housing (HIV)</t>
  </si>
  <si>
    <t xml:space="preserve">Mission Economic Development Agency (MEDA)</t>
  </si>
  <si>
    <t xml:space="preserve">Guzman Construction Group / Marinship JV</t>
  </si>
  <si>
    <t xml:space="preserve">David Baker Architects; Y.A. Studio (assoc.); AVARCHCM (CM)</t>
  </si>
  <si>
    <t xml:space="preserve">4% LIHTC: $7,697,150/yr federal credits (CTCAC CA-24-535)</t>
  </si>
  <si>
    <t xml:space="preserve">JPMorgan Chase (private placement bond purchaser, $82.1M tax-exempt bond cap); MOHCD; HCD Multifamily Housing Program $37.9M</t>
  </si>
  <si>
    <t xml:space="preserve">Early 2027</t>
  </si>
  <si>
    <t xml:space="preserve">9-story Type I; city bought site 2019; approved Apr 2024</t>
  </si>
  <si>
    <t xml:space="preserve">https://www.treasurer.ca.gov/ctcac/meeting/2024/0806/staff/CA-24-535.pdf</t>
  </si>
  <si>
    <t xml:space="preserve">U-04</t>
  </si>
  <si>
    <t xml:space="preserve">2970 16th St PSH (1979 Mission Parcel 1)</t>
  </si>
  <si>
    <t xml:space="preserve">2970 16th St</t>
  </si>
  <si>
    <t xml:space="preserve">Construction - FCD issued Dec 2025</t>
  </si>
  <si>
    <t xml:space="preserve">100% Affordable (PSH)</t>
  </si>
  <si>
    <t xml:space="preserve">14 @ 20%; 61 @ 30%; 61 @ 50% AMI; 136 homeless units</t>
  </si>
  <si>
    <t xml:space="preserve">Nov 2027</t>
  </si>
  <si>
    <t xml:space="preserve">Approved May 2025 (AB 2162); 9-story; first phase of 1979 Mission site</t>
  </si>
  <si>
    <t xml:space="preserve">U-05</t>
  </si>
  <si>
    <t xml:space="preserve">Sunnydale HOPE SF Block 9 (1652 Sunnydale Ave)</t>
  </si>
  <si>
    <t xml:space="preserve">1652 Sunnydale Ave</t>
  </si>
  <si>
    <t xml:space="preserve">Construction - FCD issued Jun 2025</t>
  </si>
  <si>
    <t xml:space="preserve">29 @ 30%; 49 @ 50%; 12 @ 60% AMI; 15 public housing replacement</t>
  </si>
  <si>
    <t xml:space="preserve">May 2027</t>
  </si>
  <si>
    <t xml:space="preserve">U-06</t>
  </si>
  <si>
    <t xml:space="preserve">Sunnydale HOPE SF Block 7 (65 Santos St)</t>
  </si>
  <si>
    <t xml:space="preserve">65 Santos St</t>
  </si>
  <si>
    <t xml:space="preserve">Construction - FCD issued Jul 2025</t>
  </si>
  <si>
    <t xml:space="preserve">28 @ 30%; 44 @ 50%; 12 @ 60%; 4 @ 80% AMI</t>
  </si>
  <si>
    <t xml:space="preserve">Mar 2027</t>
  </si>
  <si>
    <t xml:space="preserve">U-07</t>
  </si>
  <si>
    <t xml:space="preserve">Balboa Reservoir Building E (11 Frida Kahlo Way / Lee Ave)</t>
  </si>
  <si>
    <t xml:space="preserve">11 Frida Kahlo Way</t>
  </si>
  <si>
    <t xml:space="preserve">Construction - FCD issued Nov 2025</t>
  </si>
  <si>
    <t xml:space="preserve">31 @ 30%; 36 @ 50%; 60 @ 60% AMI</t>
  </si>
  <si>
    <t xml:space="preserve">AvalonBay Communities (master JV)</t>
  </si>
  <si>
    <t xml:space="preserve">Van Meter Williams Pollack (VMWP)</t>
  </si>
  <si>
    <t xml:space="preserve">4% LIHTC: $5,244,316/yr (CTCAC CA-24-670); tax-exempt bonds $73.0M</t>
  </si>
  <si>
    <t xml:space="preserve">State IIG $26M; AHSC $36M; MOHCD infrastructure loan (combined $52M for A+E)</t>
  </si>
  <si>
    <t xml:space="preserve">Jun 2027</t>
  </si>
  <si>
    <t xml:space="preserve">First vertical building of 1,100-unit Balboa Reservoir master plan ($600M est.); construction est. $75.2M</t>
  </si>
  <si>
    <t xml:space="preserve">https://www.treasurer.ca.gov/ctcac/meeting/2024/1211/staff/CA-24-670.pdf</t>
  </si>
  <si>
    <t xml:space="preserve">U-08</t>
  </si>
  <si>
    <t xml:space="preserve">850 Turk St</t>
  </si>
  <si>
    <t xml:space="preserve">Construction - FCD issued May 2025</t>
  </si>
  <si>
    <t xml:space="preserve">25 @ 40%; 32 @ 50%; 21 @ 55%; 13 @ 80% AMI</t>
  </si>
  <si>
    <t xml:space="preserve">State-owned site (Excess Sites); MOHCD final gap $5.0M + IIG $2.8M (Feb 2025); 8-story; start May 2025, 20 months</t>
  </si>
  <si>
    <t xml:space="preserve">https://sf.gov/meeting--february-21-2025--citywide-affordable-housing-loan-committee-meeting</t>
  </si>
  <si>
    <t xml:space="preserve">U-09</t>
  </si>
  <si>
    <t xml:space="preserve">750 Golden Gate Ave Phase I</t>
  </si>
  <si>
    <t xml:space="preserve">750 Golden Gate Ave</t>
  </si>
  <si>
    <t xml:space="preserve">Construction - FCD issued Nov 2024</t>
  </si>
  <si>
    <t xml:space="preserve">100% Affordable (family; educator units)</t>
  </si>
  <si>
    <t xml:space="preserve">6 @ 40%; 8 @ 60%; 13 @ 80%; 27 @ 90%; 20 @ 120% AMI</t>
  </si>
  <si>
    <t xml:space="preserve">Oct 2026</t>
  </si>
  <si>
    <t xml:space="preserve">State-owned parcel; 2 phases/171 units total; 30 units target teachers at 140% AMI</t>
  </si>
  <si>
    <t xml:space="preserve">U-10</t>
  </si>
  <si>
    <t xml:space="preserve">160 Freelon St (Land Dedication Site / 639 Bryant)</t>
  </si>
  <si>
    <t xml:space="preserve">160 Freelon St</t>
  </si>
  <si>
    <t xml:space="preserve">100% Affordable (family PSH)</t>
  </si>
  <si>
    <t xml:space="preserve">27 @ 50%; 25 @ 60%; 32 @ 80% AMI; 22 LOSP</t>
  </si>
  <si>
    <t xml:space="preserve">San Francisco Housing Development Corp (SFHDC)</t>
  </si>
  <si>
    <t xml:space="preserve">Apr 2027</t>
  </si>
  <si>
    <t xml:space="preserve">Approved Feb 2023 (AB 2162 + SDB); land dedicated by 598 Bryant developer</t>
  </si>
  <si>
    <t xml:space="preserve">U-11</t>
  </si>
  <si>
    <t xml:space="preserve">967 Mission St (senior)</t>
  </si>
  <si>
    <t xml:space="preserve">967 Mission St</t>
  </si>
  <si>
    <t xml:space="preserve">Construction - FCD issued Oct 2025</t>
  </si>
  <si>
    <t xml:space="preserve">8 @ 30%; 10 @ 50%; 40 @ 60%; 36 @ 80% AMI; 24 homeless units</t>
  </si>
  <si>
    <t xml:space="preserve">The John Stewart Company</t>
  </si>
  <si>
    <t xml:space="preserve">Dec 2027</t>
  </si>
  <si>
    <t xml:space="preserve">Approved Jan 2024 (SDB + AB 2162); 9-story</t>
  </si>
  <si>
    <t xml:space="preserve">U-12</t>
  </si>
  <si>
    <t xml:space="preserve">3300 Mission St</t>
  </si>
  <si>
    <t xml:space="preserve">100% Affordable (studios)</t>
  </si>
  <si>
    <t xml:space="preserve">11 @ 30%; 15 @ 55%; 8 @ 80% AMI</t>
  </si>
  <si>
    <t xml:space="preserve">Bernal Heights Neighborhood Center</t>
  </si>
  <si>
    <t xml:space="preserve">Tabernacle Community Development Corp</t>
  </si>
  <si>
    <t xml:space="preserve">Fire-damaged SRO site; AB 2011 + SDB; 6-story</t>
  </si>
  <si>
    <t xml:space="preserve">U-13</t>
  </si>
  <si>
    <t xml:space="preserve">HP Shipyard Block 48 Phase 2 (869 La Salle Ave)</t>
  </si>
  <si>
    <t xml:space="preserve">869 La Salle Ave</t>
  </si>
  <si>
    <t xml:space="preserve">Ownership (Limited Equity)</t>
  </si>
  <si>
    <t xml:space="preserve">11 @ 80% AMI</t>
  </si>
  <si>
    <t xml:space="preserve">Lennar</t>
  </si>
  <si>
    <t xml:space="preserve">U-14</t>
  </si>
  <si>
    <t xml:space="preserve">HP Shipyard Block 48 Phase 1 (898 La Salle Ave)</t>
  </si>
  <si>
    <t xml:space="preserve">898 La Salle Ave</t>
  </si>
  <si>
    <t xml:space="preserve">Construction - FCD issued Sep 2017 (restart Jul 2025)</t>
  </si>
  <si>
    <t xml:space="preserve">22 @ 80%; 3 @ 130% AMI</t>
  </si>
  <si>
    <t xml:space="preserve">Lennar (FivePoint)</t>
  </si>
  <si>
    <t xml:space="preserve">Mar 2029</t>
  </si>
  <si>
    <t xml:space="preserve">U-15</t>
  </si>
  <si>
    <t xml:space="preserve">HP Shipyard Block 48 Phase 4 (989 Oakdale Ave)</t>
  </si>
  <si>
    <t xml:space="preserve">989 Oakdale Ave</t>
  </si>
  <si>
    <t xml:space="preserve">Construction - FCD issued (MOHCD); start May 2028</t>
  </si>
  <si>
    <t xml:space="preserve">10 @ 80% AMI</t>
  </si>
  <si>
    <t xml:space="preserve">Jun 2030</t>
  </si>
  <si>
    <t xml:space="preserve">U-16</t>
  </si>
  <si>
    <t xml:space="preserve">1055 Texas St</t>
  </si>
  <si>
    <t xml:space="preserve">Construction - FCD issued Jul 2024</t>
  </si>
  <si>
    <t xml:space="preserve">Mixed-Income</t>
  </si>
  <si>
    <t xml:space="preserve">1 @ 50%; 1 @ 60%; 1 @ 100% AMI</t>
  </si>
  <si>
    <t xml:space="preserve">TM Build LLC</t>
  </si>
  <si>
    <t xml:space="preserve">Revision approved 2025 (setback changes)</t>
  </si>
  <si>
    <t xml:space="preserve">U-17</t>
  </si>
  <si>
    <t xml:space="preserve">2918 Mission St</t>
  </si>
  <si>
    <t xml:space="preserve">Construction - FCD issued Nov 2021</t>
  </si>
  <si>
    <t xml:space="preserve">7 @ 55%; 1 @ 60% AMI</t>
  </si>
  <si>
    <t xml:space="preserve">RRTI, Inc.</t>
  </si>
  <si>
    <t xml:space="preserve">U-18</t>
  </si>
  <si>
    <t xml:space="preserve">1721 15th St</t>
  </si>
  <si>
    <t xml:space="preserve">Construction - FCD issued Jun 2024</t>
  </si>
  <si>
    <t xml:space="preserve">2 @ 90%; 4 @ 100% AMI</t>
  </si>
  <si>
    <t xml:space="preserve">Toboni Group</t>
  </si>
  <si>
    <t xml:space="preserve">U-19</t>
  </si>
  <si>
    <t xml:space="preserve">3260 26th St</t>
  </si>
  <si>
    <t xml:space="preserve">Construction - FCD issued Jan 2026</t>
  </si>
  <si>
    <t xml:space="preserve">1 @ 50%; 4 @ 55% AMI</t>
  </si>
  <si>
    <t xml:space="preserve">(sponsor via Reuben, Junius &amp; Rose)</t>
  </si>
  <si>
    <t xml:space="preserve">Approved Jan 2023 (SDB)</t>
  </si>
  <si>
    <t xml:space="preserve">U-20</t>
  </si>
  <si>
    <t xml:space="preserve">342-360 5th St</t>
  </si>
  <si>
    <t xml:space="preserve">Construction - FCD issued May 2020</t>
  </si>
  <si>
    <t xml:space="preserve">18 @ 100% AMI</t>
  </si>
  <si>
    <t xml:space="preserve">Long-stalled; verify status</t>
  </si>
  <si>
    <t xml:space="preserve">U-21</t>
  </si>
  <si>
    <t xml:space="preserve">255 Shipley St</t>
  </si>
  <si>
    <t xml:space="preserve">Construction - FCD issued Aug 2022</t>
  </si>
  <si>
    <t xml:space="preserve">3 @ 55% AMI</t>
  </si>
  <si>
    <t xml:space="preserve">U-22</t>
  </si>
  <si>
    <t xml:space="preserve">3945 Judah St</t>
  </si>
  <si>
    <t xml:space="preserve">Construction - FCD issued May 2023; est. completion Feb 2026</t>
  </si>
  <si>
    <t xml:space="preserve">2 @ 55%; 2 @ 60%; 1 @ 100% AMI</t>
  </si>
  <si>
    <t xml:space="preserve">(Leavitt Architecture, agent)</t>
  </si>
  <si>
    <t xml:space="preserve">U-23</t>
  </si>
  <si>
    <t xml:space="preserve">490 Avenue of the Palms - Portico (Treasure Island)</t>
  </si>
  <si>
    <t xml:space="preserve">490 Avenue of the Palms</t>
  </si>
  <si>
    <t xml:space="preserve">Construction - FCD issued (MOHCD)</t>
  </si>
  <si>
    <t xml:space="preserve">Condominium (Major Multi-Phase)</t>
  </si>
  <si>
    <t xml:space="preserve">2 @ 100%; 3 @ 120%; 2 @ 150% AMI</t>
  </si>
  <si>
    <t xml:space="preserve">Treasure Island Development Group (Wilson Meany / Stockbridge Capital / Lennar)</t>
  </si>
  <si>
    <t xml:space="preserve">Fougeron Architecture + Mark Cavagnero Associates</t>
  </si>
  <si>
    <t xml:space="preserve">First for-sale condo building on TI; sales launched fall 2025</t>
  </si>
  <si>
    <t xml:space="preserve">https://therealdeal.com/san-francisco/2025/06/16/exclusive-sneak-peek-of-first-new-condos-on-treasure-island/</t>
  </si>
  <si>
    <t xml:space="preserve">U-24</t>
  </si>
  <si>
    <t xml:space="preserve">1035 Van Ness (Veterans PSH conversion)</t>
  </si>
  <si>
    <t xml:space="preserve">1035 Van Ness Ave</t>
  </si>
  <si>
    <t xml:space="preserve">Building Rehabilitation (Construction) - FCD Mar 2026</t>
  </si>
  <si>
    <t xml:space="preserve">Adaptive Reuse / Rehab (PSH)</t>
  </si>
  <si>
    <t xml:space="preserve">124 @ 30% AMI</t>
  </si>
  <si>
    <t xml:space="preserve">Swords to Plowshares</t>
  </si>
  <si>
    <t xml:space="preserve">Jan 2027</t>
  </si>
  <si>
    <t xml:space="preserve">Approved Jun 2025 (AB 2162); HSH Homekey; conversion of residential care facility</t>
  </si>
  <si>
    <t xml:space="preserve">U-25</t>
  </si>
  <si>
    <t xml:space="preserve">835 Turk St (Homekey)</t>
  </si>
  <si>
    <t xml:space="preserve">835 Turk St</t>
  </si>
  <si>
    <t xml:space="preserve">Building Rehabilitation (Construction) - site permit Jan 2026</t>
  </si>
  <si>
    <t xml:space="preserve">Rehab (PSH)</t>
  </si>
  <si>
    <t xml:space="preserve">53 @ 30%; 53 @ 50% AMI</t>
  </si>
  <si>
    <t xml:space="preserve">Five Keys School and Programs</t>
  </si>
  <si>
    <t xml:space="preserve">Feb 2027</t>
  </si>
  <si>
    <t xml:space="preserve">U-26</t>
  </si>
  <si>
    <t xml:space="preserve">William Penn Hotel (160 Eddy St)</t>
  </si>
  <si>
    <t xml:space="preserve">160 Eddy St</t>
  </si>
  <si>
    <t xml:space="preserve">Building Rehabilitation (Construction)</t>
  </si>
  <si>
    <t xml:space="preserve">Rehab (SRO)</t>
  </si>
  <si>
    <t xml:space="preserve">91 @ 50% AMI</t>
  </si>
  <si>
    <t xml:space="preserve">May 2026</t>
  </si>
  <si>
    <t xml:space="preserve">U-27</t>
  </si>
  <si>
    <t xml:space="preserve">El Dorado (150 9th St)</t>
  </si>
  <si>
    <t xml:space="preserve">150 9th St</t>
  </si>
  <si>
    <t xml:space="preserve">Building Rehabilitation (Construction) - FCD May 2024</t>
  </si>
  <si>
    <t xml:space="preserve">62 @ 50% AMI</t>
  </si>
  <si>
    <t xml:space="preserve">Conard House, Inc.</t>
  </si>
  <si>
    <t xml:space="preserve">Mar 2026</t>
  </si>
  <si>
    <t xml:space="preserve">U-28</t>
  </si>
  <si>
    <t xml:space="preserve">The Rose (125 6th St)</t>
  </si>
  <si>
    <t xml:space="preserve">125 6th St</t>
  </si>
  <si>
    <t xml:space="preserve">Building Rehabilitation (Construction) - FCD</t>
  </si>
  <si>
    <t xml:space="preserve">75 @ 50% AMI</t>
  </si>
  <si>
    <t xml:space="preserve">U-29</t>
  </si>
  <si>
    <t xml:space="preserve">Normandy Apartments (1155 Ellis St)</t>
  </si>
  <si>
    <t xml:space="preserve">1155 Ellis St</t>
  </si>
  <si>
    <t xml:space="preserve">Building Rehabilitation (Construction) - FCD Jan 2026</t>
  </si>
  <si>
    <t xml:space="preserve">Rehab (Big Sites)</t>
  </si>
  <si>
    <t xml:space="preserve">108 @ 100% AMI</t>
  </si>
  <si>
    <t xml:space="preserve">Dec 2026</t>
  </si>
  <si>
    <t xml:space="preserve">U-30</t>
  </si>
  <si>
    <t xml:space="preserve">2059 Mission St (Big Sites)</t>
  </si>
  <si>
    <t xml:space="preserve">2059 Mission St</t>
  </si>
  <si>
    <t xml:space="preserve">AMI undeclared</t>
  </si>
  <si>
    <t xml:space="preserve">Jul 2026</t>
  </si>
  <si>
    <t xml:space="preserve">U-31</t>
  </si>
  <si>
    <t xml:space="preserve">629 Post St (Veterans)</t>
  </si>
  <si>
    <t xml:space="preserve">629 Post St</t>
  </si>
  <si>
    <t xml:space="preserve">63 @ 50% AMI</t>
  </si>
  <si>
    <t xml:space="preserve">U-32</t>
  </si>
  <si>
    <t xml:space="preserve">Sierra Madre Apartments (421 Leavenworth St)</t>
  </si>
  <si>
    <t xml:space="preserve">421 Leavenworth St</t>
  </si>
  <si>
    <t xml:space="preserve">Rehab</t>
  </si>
  <si>
    <t xml:space="preserve">26 @ 40%; 16 @ 55%; 4 @ 60% AMI</t>
  </si>
  <si>
    <t xml:space="preserve">U-33</t>
  </si>
  <si>
    <t xml:space="preserve">The Dudley Apartments (172-180 6th St)</t>
  </si>
  <si>
    <t xml:space="preserve">172-180 6th St</t>
  </si>
  <si>
    <t xml:space="preserve">Building Rehabilitation (Construction) - site permit</t>
  </si>
  <si>
    <t xml:space="preserve">74 @ 50% AMI</t>
  </si>
  <si>
    <t xml:space="preserve">Sep 2026</t>
  </si>
  <si>
    <t xml:space="preserve">U-34</t>
  </si>
  <si>
    <t xml:space="preserve">Larkin Pine Senior Housing (1303 Larkin St)</t>
  </si>
  <si>
    <t xml:space="preserve">1303 Larkin St</t>
  </si>
  <si>
    <t xml:space="preserve">Rehab (senior)</t>
  </si>
  <si>
    <t xml:space="preserve">62 @ 55% AMI</t>
  </si>
  <si>
    <t xml:space="preserve">U-35</t>
  </si>
  <si>
    <t xml:space="preserve">Village SF (80 Julian Ave)</t>
  </si>
  <si>
    <t xml:space="preserve">80 Julian Ave</t>
  </si>
  <si>
    <t xml:space="preserve">Design with Entitlements Approved; BP issued Sep 2024; start Jul 2026</t>
  </si>
  <si>
    <t xml:space="preserve">Transitional Housing</t>
  </si>
  <si>
    <t xml:space="preserve">Friendship House Association of American Indians</t>
  </si>
  <si>
    <t xml:space="preserve">Jul 2028</t>
  </si>
  <si>
    <t xml:space="preserve">Approved Jan 2023</t>
  </si>
  <si>
    <t xml:space="preserve">PM-01</t>
  </si>
  <si>
    <t xml:space="preserve">1939 Market St (senior, Openhouse)</t>
  </si>
  <si>
    <t xml:space="preserve">1939 Market St</t>
  </si>
  <si>
    <t xml:space="preserve">Site Work Permit Issued Oct 2023; construction start Oct 2026</t>
  </si>
  <si>
    <t xml:space="preserve">100% Affordable (senior LGBTQ+)</t>
  </si>
  <si>
    <t xml:space="preserve">37 @ 20%; 78 @ 30%; 20 @ 50%; 50 @ 60% AMI; 40 LOSP</t>
  </si>
  <si>
    <t xml:space="preserve">Openhouse</t>
  </si>
  <si>
    <t xml:space="preserve">Aug 2028</t>
  </si>
  <si>
    <t xml:space="preserve">Approved May 2023 (SB 35); 15-story</t>
  </si>
  <si>
    <t xml:space="preserve">PM-02</t>
  </si>
  <si>
    <t xml:space="preserve">1687 Market St (Artists Hub on Market)</t>
  </si>
  <si>
    <t xml:space="preserve">1687 Market St</t>
  </si>
  <si>
    <t xml:space="preserve">Site Work Permit Issued Nov 2025</t>
  </si>
  <si>
    <t xml:space="preserve">100% Affordable (artist housing)</t>
  </si>
  <si>
    <t xml:space="preserve">101 @ 80% AMI</t>
  </si>
  <si>
    <t xml:space="preserve">Artists Hub on Market</t>
  </si>
  <si>
    <t xml:space="preserve">Jun 2027 (MOHCD est.)</t>
  </si>
  <si>
    <t xml:space="preserve">Approved Mar 2025 (AB 2011 + SDB); 17 levels Type I; black box theater</t>
  </si>
  <si>
    <t xml:space="preserve">PM-03</t>
  </si>
  <si>
    <t xml:space="preserve">30 Van Ness Ave</t>
  </si>
  <si>
    <t xml:space="preserve">Site Work Permit Issued Aug 2021; FCD Mar 2023 (MOHCD) - verify</t>
  </si>
  <si>
    <t xml:space="preserve">Mixed-Use (office + condo)</t>
  </si>
  <si>
    <t xml:space="preserve">33 @ 80%; 17 @ 100%; 33 @ 130% AMI</t>
  </si>
  <si>
    <t xml:space="preserve">Lendlease</t>
  </si>
  <si>
    <t xml:space="preserve">Approved May 2020; revised conditions approved 2024; authorized 348 units Mar 2023 per HI; construction status uncertain</t>
  </si>
  <si>
    <t xml:space="preserve">PM-04</t>
  </si>
  <si>
    <t xml:space="preserve">2201 Market St</t>
  </si>
  <si>
    <t xml:space="preserve">Site Work Permit Issued</t>
  </si>
  <si>
    <t xml:space="preserve">2 @ 100% AMI</t>
  </si>
  <si>
    <t xml:space="preserve">Approved 2024 (AB 2011)</t>
  </si>
  <si>
    <t xml:space="preserve">PM-05</t>
  </si>
  <si>
    <t xml:space="preserve">2051 Market St</t>
  </si>
  <si>
    <t xml:space="preserve">Site Work Permit Issued Mar 2025</t>
  </si>
  <si>
    <t xml:space="preserve">3 @ 100%; 1 @ 130% AMI</t>
  </si>
  <si>
    <t xml:space="preserve">(Winder Gibson Architects, agent)</t>
  </si>
  <si>
    <t xml:space="preserve">Approved Jun 2024 (SDB)</t>
  </si>
  <si>
    <t xml:space="preserve">PM-06</t>
  </si>
  <si>
    <t xml:space="preserve">1965 Market St</t>
  </si>
  <si>
    <t xml:space="preserve">Site Work Permit Issued Jul 2019</t>
  </si>
  <si>
    <t xml:space="preserve">14 @ 100% AMI</t>
  </si>
  <si>
    <t xml:space="preserve">Keller Grover Properties</t>
  </si>
  <si>
    <t xml:space="preserve">New 218-unit SDB proposal filed 2025 supersedes</t>
  </si>
  <si>
    <t xml:space="preserve">PM-07</t>
  </si>
  <si>
    <t xml:space="preserve">450 O'Farrell St / 532 Jones (church + housing)</t>
  </si>
  <si>
    <t xml:space="preserve">450 O'Farrell St</t>
  </si>
  <si>
    <t xml:space="preserve">Site Work Permit Issued May 2020</t>
  </si>
  <si>
    <t xml:space="preserve">23 @ 55% AMI (MOHCD, 176-unit version)</t>
  </si>
  <si>
    <t xml:space="preserve">450 O'Farrell Partners LLC / Fifth Church of Christ Scientist</t>
  </si>
  <si>
    <t xml:space="preserve">Approved May 2023 at 261 units (SDB)</t>
  </si>
  <si>
    <t xml:space="preserve">PM-08</t>
  </si>
  <si>
    <t xml:space="preserve">600 Van Ness Ave</t>
  </si>
  <si>
    <t xml:space="preserve">Site Work Permit Issued Dec 2018</t>
  </si>
  <si>
    <t xml:space="preserve">24 @ 55% AMI</t>
  </si>
  <si>
    <t xml:space="preserve">PM-09</t>
  </si>
  <si>
    <t xml:space="preserve">1270 Mission St</t>
  </si>
  <si>
    <t xml:space="preserve">Site Work Permit Issued Oct 2019</t>
  </si>
  <si>
    <t xml:space="preserve">61 @ 55%; 3 @ 60% AMI</t>
  </si>
  <si>
    <t xml:space="preserve">AGI Avant</t>
  </si>
  <si>
    <t xml:space="preserve">PM-10</t>
  </si>
  <si>
    <t xml:space="preserve">901 16th St / 1200 17th St</t>
  </si>
  <si>
    <t xml:space="preserve">901 16th St</t>
  </si>
  <si>
    <t xml:space="preserve">Mission Bay / Potrero</t>
  </si>
  <si>
    <t xml:space="preserve">42 @ 100% AMI</t>
  </si>
  <si>
    <t xml:space="preserve">Potrero Partners, LLC</t>
  </si>
  <si>
    <t xml:space="preserve">PM-11</t>
  </si>
  <si>
    <t xml:space="preserve">1740 Market St</t>
  </si>
  <si>
    <t xml:space="preserve">12 @ 55% AMI</t>
  </si>
  <si>
    <t xml:space="preserve">PM-12</t>
  </si>
  <si>
    <t xml:space="preserve">1567 California St</t>
  </si>
  <si>
    <t xml:space="preserve">Site Work Permit Issued Dec 2021</t>
  </si>
  <si>
    <t xml:space="preserve">5 @ 55%; 2 @ 80%; 2 @ 110% AMI</t>
  </si>
  <si>
    <t xml:space="preserve">PM-13</t>
  </si>
  <si>
    <t xml:space="preserve">301 6th St</t>
  </si>
  <si>
    <t xml:space="preserve">Site Work Permit Issued Mar 2019</t>
  </si>
  <si>
    <t xml:space="preserve">13 @ 55% AMI</t>
  </si>
  <si>
    <t xml:space="preserve">PM-14</t>
  </si>
  <si>
    <t xml:space="preserve">555 Howard St</t>
  </si>
  <si>
    <t xml:space="preserve">Site Work Permit Issued Nov 2018</t>
  </si>
  <si>
    <t xml:space="preserve">Mixed-Use (hotel + condo)</t>
  </si>
  <si>
    <t xml:space="preserve">10 @ 100% AMI</t>
  </si>
  <si>
    <t xml:space="preserve">Pacific Howard Corporation</t>
  </si>
  <si>
    <t xml:space="preserve">PM-15</t>
  </si>
  <si>
    <t xml:space="preserve">135 Hyde St</t>
  </si>
  <si>
    <t xml:space="preserve">Site Work Permit Issued Jun 2019</t>
  </si>
  <si>
    <t xml:space="preserve">10 @ 55% AMI</t>
  </si>
  <si>
    <t xml:space="preserve">PM-16</t>
  </si>
  <si>
    <t xml:space="preserve">98 Pennsylvania Ave</t>
  </si>
  <si>
    <t xml:space="preserve">6 @ 55%; 1 @ 80%; 2 @ 110% AMI</t>
  </si>
  <si>
    <t xml:space="preserve">Ciaran &amp; Patrick Harty</t>
  </si>
  <si>
    <t xml:space="preserve">Revised 64-unit SDB version approved Mar 2023</t>
  </si>
  <si>
    <t xml:space="preserve">PM-17</t>
  </si>
  <si>
    <t xml:space="preserve">344 14th St</t>
  </si>
  <si>
    <t xml:space="preserve">Site Work Permit Issued May 2022 (62 units); 164-unit SDB revision approved Aug 2025</t>
  </si>
  <si>
    <t xml:space="preserve">(revised inclusionary TBD)</t>
  </si>
  <si>
    <t xml:space="preserve">SF AEC14 LLC</t>
  </si>
  <si>
    <t xml:space="preserve">PM-18</t>
  </si>
  <si>
    <t xml:space="preserve">651 Geary St</t>
  </si>
  <si>
    <t xml:space="preserve">6 @ 100% AMI</t>
  </si>
  <si>
    <t xml:space="preserve">Geary Place LLC</t>
  </si>
  <si>
    <t xml:space="preserve">PM-19</t>
  </si>
  <si>
    <t xml:space="preserve">1075-1089 Folsom St</t>
  </si>
  <si>
    <t xml:space="preserve">1075 Folsom St</t>
  </si>
  <si>
    <t xml:space="preserve">Site Work Permit Issued Dec 2019</t>
  </si>
  <si>
    <t xml:space="preserve">7 @ 55%; 2 @ 80%; 3 @ 110% AMI</t>
  </si>
  <si>
    <t xml:space="preserve">PM-20</t>
  </si>
  <si>
    <t xml:space="preserve">1726-1730 Mission St</t>
  </si>
  <si>
    <t xml:space="preserve">1726 Mission St</t>
  </si>
  <si>
    <t xml:space="preserve">Site Work Permit Issued Jul 2018</t>
  </si>
  <si>
    <t xml:space="preserve">7 @ 90% AMI</t>
  </si>
  <si>
    <t xml:space="preserve">PM-21</t>
  </si>
  <si>
    <t xml:space="preserve">1298 Valencia St</t>
  </si>
  <si>
    <t xml:space="preserve">Site Work Permit Issued Jan 2019</t>
  </si>
  <si>
    <t xml:space="preserve">1 @ 100% AMI</t>
  </si>
  <si>
    <t xml:space="preserve">PM-22</t>
  </si>
  <si>
    <t xml:space="preserve">4101 3rd St (OCII)</t>
  </si>
  <si>
    <t xml:space="preserve">4101 3rd St</t>
  </si>
  <si>
    <t xml:space="preserve">Site Work Permit Issued Jun 2020</t>
  </si>
  <si>
    <t xml:space="preserve">5 @ 60% AMI</t>
  </si>
  <si>
    <t xml:space="preserve">PM-23</t>
  </si>
  <si>
    <t xml:space="preserve">980 Folsom St</t>
  </si>
  <si>
    <t xml:space="preserve">Site Work Permit Issued Feb 2019</t>
  </si>
  <si>
    <t xml:space="preserve">4 @ 100% AMI</t>
  </si>
  <si>
    <t xml:space="preserve">PM-24</t>
  </si>
  <si>
    <t xml:space="preserve">469 Eddy St</t>
  </si>
  <si>
    <t xml:space="preserve">3 @ 100% AMI</t>
  </si>
  <si>
    <t xml:space="preserve">PM-25</t>
  </si>
  <si>
    <t xml:space="preserve">300/350 Octavia St</t>
  </si>
  <si>
    <t xml:space="preserve">300 Octavia St</t>
  </si>
  <si>
    <t xml:space="preserve">FCD issued Dec 2020</t>
  </si>
  <si>
    <t xml:space="preserve">DDG 235 Valencia Realty LLC</t>
  </si>
  <si>
    <t xml:space="preserve">PM-26</t>
  </si>
  <si>
    <t xml:space="preserve">1088 Howard St</t>
  </si>
  <si>
    <t xml:space="preserve">Site Work Permit Issued Apr 2021</t>
  </si>
  <si>
    <t xml:space="preserve">PM-27</t>
  </si>
  <si>
    <t xml:space="preserve">4712-4720 3rd St</t>
  </si>
  <si>
    <t xml:space="preserve">4712 3rd St</t>
  </si>
  <si>
    <t xml:space="preserve">Site Work Permit Issued Aug 2019</t>
  </si>
  <si>
    <t xml:space="preserve">2 @ 55%; 1 @ 80%; 1 @ 110% AMI</t>
  </si>
  <si>
    <t xml:space="preserve">CTW Home Improvement Inc</t>
  </si>
  <si>
    <t xml:space="preserve">PM-28</t>
  </si>
  <si>
    <t xml:space="preserve">33 Norfolk St</t>
  </si>
  <si>
    <t xml:space="preserve">The International Land Group</t>
  </si>
  <si>
    <t xml:space="preserve">PM-29</t>
  </si>
  <si>
    <t xml:space="preserve">1120 Valencia St</t>
  </si>
  <si>
    <t xml:space="preserve">Site Work Permit Issued Apr 2022</t>
  </si>
  <si>
    <t xml:space="preserve">2 @ 55% AMI</t>
  </si>
  <si>
    <t xml:space="preserve">PM-30</t>
  </si>
  <si>
    <t xml:space="preserve">1924 Mission St</t>
  </si>
  <si>
    <t xml:space="preserve">1 @ 55% AMI</t>
  </si>
  <si>
    <t xml:space="preserve">PM-31</t>
  </si>
  <si>
    <t xml:space="preserve">4128 3rd St (OCII)</t>
  </si>
  <si>
    <t xml:space="preserve">4128 3rd St</t>
  </si>
  <si>
    <t xml:space="preserve">1 @ 120% AMI +1</t>
  </si>
  <si>
    <t xml:space="preserve">PM-32</t>
  </si>
  <si>
    <t xml:space="preserve">Treasure Island E1.2 - Senior</t>
  </si>
  <si>
    <t xml:space="preserve">Parcel E1.2, Treasure Island</t>
  </si>
  <si>
    <t xml:space="preserve">Site Work Permit Issued; start Nov 2026</t>
  </si>
  <si>
    <t xml:space="preserve">33 @ 40%; 60 @ 80%; 6 @ 150% AMI; 33 homeless units</t>
  </si>
  <si>
    <t xml:space="preserve">DPH / HealthRight360 (adjacent)</t>
  </si>
  <si>
    <t xml:space="preserve">Sep 2028</t>
  </si>
  <si>
    <t xml:space="preserve">A-01</t>
  </si>
  <si>
    <t xml:space="preserve">88 Bluxome St (two towers)</t>
  </si>
  <si>
    <t xml:space="preserve">88 Bluxome St</t>
  </si>
  <si>
    <t xml:space="preserve">Approved by Planning Dec 12, 2025 (HI 2025 A-3)</t>
  </si>
  <si>
    <t xml:space="preserve">Residential High-Rise (2 towers) + retail</t>
  </si>
  <si>
    <t xml:space="preserve">Inclusionary TBD (eastern parcel dedicated to City for future affordable)</t>
  </si>
  <si>
    <t xml:space="preserve">Alexandria Real Estate Equities (landowner; marketing site for sale)</t>
  </si>
  <si>
    <t xml:space="preserve">Solomon Cordwell Buenz (SCB) + Henning Larsen</t>
  </si>
  <si>
    <t xml:space="preserve">599-ft (785 units) + 528-ft (715 units); 465 parking; Bluxome Linear Park; site bought by Alexandria for $140M in 2017; Pinterest paid $89.5M to exit lease</t>
  </si>
  <si>
    <t xml:space="preserve">https://sfyimby.com/?p=44235</t>
  </si>
  <si>
    <t xml:space="preserve">A-02</t>
  </si>
  <si>
    <t xml:space="preserve">Balboa Reservoir master plan (17 acres)</t>
  </si>
  <si>
    <t xml:space="preserve">Balboa Reservoir / Frida Kahlo Way</t>
  </si>
  <si>
    <t xml:space="preserve">Approved Feb 14, 2025 (revised master, HI 2025 A-3); DA 2020</t>
  </si>
  <si>
    <t xml:space="preserve">Major Multi-Phase (mixed-income)</t>
  </si>
  <si>
    <t xml:space="preserve">Mixed</t>
  </si>
  <si>
    <t xml:space="preserve">~50% affordable across 4 BRIDGE buildings + townhomes</t>
  </si>
  <si>
    <t xml:space="preserve">BRIDGE Housing + AvalonBay Communities (master developers)</t>
  </si>
  <si>
    <t xml:space="preserve">MOHCD infrastructure loan up to $35M-$52M; State IIG ~$20M; &gt;$200M state financing across affordable phases</t>
  </si>
  <si>
    <t xml:space="preserve">Bldg E + A under construction/starting (see U-07, A-03); 413 units remain in Pipeline Q2 2026 multi-phase bucket</t>
  </si>
  <si>
    <t xml:space="preserve">https://sfyimby.com/?p=22568</t>
  </si>
  <si>
    <t xml:space="preserve">A-03</t>
  </si>
  <si>
    <t xml:space="preserve">Balboa Reservoir Building A (105 Wisteria Ln)</t>
  </si>
  <si>
    <t xml:space="preserve">105 Wisteria Lane</t>
  </si>
  <si>
    <t xml:space="preserve">Site Work Permit Issued; financing close/start Apr 2026</t>
  </si>
  <si>
    <t xml:space="preserve">40 @ 40%; 39 @ 60%; 78 @ 80% AMI (38-80% MOHCD AMI)</t>
  </si>
  <si>
    <t xml:space="preserve">MOHCD final gap loan up to $29,280,757 (Nov 2025) + predev/gap $14M (2023)</t>
  </si>
  <si>
    <t xml:space="preserve">Jan 2028</t>
  </si>
  <si>
    <t xml:space="preserve">https://www.sf.gov/meeting--november-07--2025--citywide-affordable-housing-loan-committee-meeting</t>
  </si>
  <si>
    <t xml:space="preserve">A-04</t>
  </si>
  <si>
    <t xml:space="preserve">650 Harrison St</t>
  </si>
  <si>
    <t xml:space="preserve">Approved Oct 8, 2025 (HI 2025 A-3)</t>
  </si>
  <si>
    <t xml:space="preserve">Residential High-Rise (SDB)</t>
  </si>
  <si>
    <t xml:space="preserve">Inclusionary TBD</t>
  </si>
  <si>
    <t xml:space="preserve">34-story Type I-A per 2024 filing (274 units then); Central SoMa</t>
  </si>
  <si>
    <t xml:space="preserve">A-05</t>
  </si>
  <si>
    <t xml:space="preserve">2675 Folsom St (senior)</t>
  </si>
  <si>
    <t xml:space="preserve">2675 Folsom St</t>
  </si>
  <si>
    <t xml:space="preserve">Approved Mar 25, 2025 (AB 2162)</t>
  </si>
  <si>
    <t xml:space="preserve">234 @ &lt;80% AMI; 60 formerly homeless seniors</t>
  </si>
  <si>
    <t xml:space="preserve">Two 6-7 story buildings; replaces earlier 117-unit inclusionary project (site permit 2018)</t>
  </si>
  <si>
    <t xml:space="preserve">A-06</t>
  </si>
  <si>
    <t xml:space="preserve">772 Pacific Ave (New Asia Senior Housing)</t>
  </si>
  <si>
    <t xml:space="preserve">758-772 Pacific Ave</t>
  </si>
  <si>
    <t xml:space="preserve">Approved Jan 24, 2025; Design with Entitlements Approved (MOHCD)</t>
  </si>
  <si>
    <t xml:space="preserve">44 @ 20%; 44 @ 30%; 5 @ 50%; 55 @ 55%; 70 @ 60% AMI (MOHCD); 44 homeless</t>
  </si>
  <si>
    <t xml:space="preserve">Sep 2029</t>
  </si>
  <si>
    <t xml:space="preserve">15-story over banquet hall; start May 2027</t>
  </si>
  <si>
    <t xml:space="preserve">A-07</t>
  </si>
  <si>
    <t xml:space="preserve">250 Laguna Honda Blvd</t>
  </si>
  <si>
    <t xml:space="preserve">Approved Oct 3, 2025 (AB 2162/SB 330)</t>
  </si>
  <si>
    <t xml:space="preserve">100% Affordable (family + PSH)</t>
  </si>
  <si>
    <t xml:space="preserve">35 @ 30%; 136 @ 50% AMI; 43 LOSP</t>
  </si>
  <si>
    <t xml:space="preserve">Lutheran Social Services (services)</t>
  </si>
  <si>
    <t xml:space="preserve">Oct 2030</t>
  </si>
  <si>
    <t xml:space="preserve">8-story; 93 2BR + 44 3BR; start Jul 2028</t>
  </si>
  <si>
    <t xml:space="preserve">A-08</t>
  </si>
  <si>
    <t xml:space="preserve">896 Folsom St</t>
  </si>
  <si>
    <t xml:space="preserve">Approved Jul 1, 2025 (AB 2011 + AB 1287)</t>
  </si>
  <si>
    <t xml:space="preserve">A-09</t>
  </si>
  <si>
    <t xml:space="preserve">650 Divisadero St</t>
  </si>
  <si>
    <t xml:space="preserve">Approved Jun 16, 2025 (AB 2011)</t>
  </si>
  <si>
    <t xml:space="preserve">AMI TBD</t>
  </si>
  <si>
    <t xml:space="preserve">Grove Street Development LP</t>
  </si>
  <si>
    <t xml:space="preserve">MOHCD</t>
  </si>
  <si>
    <t xml:space="preserve">A-10</t>
  </si>
  <si>
    <t xml:space="preserve">880 McAllister St (Freedom West Senior)</t>
  </si>
  <si>
    <t xml:space="preserve">880 McAllister St</t>
  </si>
  <si>
    <t xml:space="preserve">Approved Apr 22, 2025; MOHCD status 3</t>
  </si>
  <si>
    <t xml:space="preserve">73 @ 55%; 41 @ 60% AMI</t>
  </si>
  <si>
    <t xml:space="preserve">Freedom West Homes Corporation</t>
  </si>
  <si>
    <t xml:space="preserve">Feb 2028</t>
  </si>
  <si>
    <t xml:space="preserve">First phase of Freedom West redevelopment; start Jun 2026</t>
  </si>
  <si>
    <t xml:space="preserve">A-11</t>
  </si>
  <si>
    <t xml:space="preserve">777 Sutter St</t>
  </si>
  <si>
    <t xml:space="preserve">Approved Oct 1, 2025 (SB 423 + AB 1287)</t>
  </si>
  <si>
    <t xml:space="preserve">A-12</t>
  </si>
  <si>
    <t xml:space="preserve">1324 Powell St (SRO)</t>
  </si>
  <si>
    <t xml:space="preserve">1324 Powell St</t>
  </si>
  <si>
    <t xml:space="preserve">Approved Jun 30, 2025</t>
  </si>
  <si>
    <t xml:space="preserve">SRO Mixed-Use</t>
  </si>
  <si>
    <t xml:space="preserve">A-13</t>
  </si>
  <si>
    <t xml:space="preserve">995 Market St (office-to-residential)</t>
  </si>
  <si>
    <t xml:space="preserve">995 Market St</t>
  </si>
  <si>
    <t xml:space="preserve">Approved Sep 24, 2025 (Adaptive Reuse Program)</t>
  </si>
  <si>
    <t xml:space="preserve">Adaptive Reuse</t>
  </si>
  <si>
    <t xml:space="preserve">A-14</t>
  </si>
  <si>
    <t xml:space="preserve">10 South Van Ness Ave (One Oak / Hub tower)</t>
  </si>
  <si>
    <t xml:space="preserve">10 South Van Ness Ave</t>
  </si>
  <si>
    <t xml:space="preserve">Revision approved 2025 (HI 2025 A-3.2): 1,104 units / 1,019 net</t>
  </si>
  <si>
    <t xml:space="preserve">Residential High-Rise (65 stories)</t>
  </si>
  <si>
    <t xml:space="preserve">Crescent Heights</t>
  </si>
  <si>
    <t xml:space="preserve">65-story; 18,568 sf retail; replaces earlier ~984-unit approval</t>
  </si>
  <si>
    <t xml:space="preserve">A-15</t>
  </si>
  <si>
    <t xml:space="preserve">425 Broadway</t>
  </si>
  <si>
    <t xml:space="preserve">Modified approval 2025 (75 units); MOHCD status 3</t>
  </si>
  <si>
    <t xml:space="preserve">Mixed-Income (Cars to Casas)</t>
  </si>
  <si>
    <t xml:space="preserve">3 @ 100%; 1 @ 120%; 1 @ 130% AMI (42-unit version)</t>
  </si>
  <si>
    <t xml:space="preserve">A-16</t>
  </si>
  <si>
    <t xml:space="preserve">3333 Mission St (senior)</t>
  </si>
  <si>
    <t xml:space="preserve">3333 Mission St</t>
  </si>
  <si>
    <t xml:space="preserve">Approved Oct 30, 2024 (SB 35); revised 2025</t>
  </si>
  <si>
    <t xml:space="preserve">A-17</t>
  </si>
  <si>
    <t xml:space="preserve">280 7th St</t>
  </si>
  <si>
    <t xml:space="preserve">SDB administrative approval 2025 (prior CPC approval 2018)</t>
  </si>
  <si>
    <t xml:space="preserve">Dragonfly Assets C-54, LLC</t>
  </si>
  <si>
    <t xml:space="preserve">A-18</t>
  </si>
  <si>
    <t xml:space="preserve">Stonestown Galleria redevelopment (400 Winston Dr)</t>
  </si>
  <si>
    <t xml:space="preserve">400 Winston Dr</t>
  </si>
  <si>
    <t xml:space="preserve">Approved Aug 24, 2024 (Development Agreement)</t>
  </si>
  <si>
    <t xml:space="preserve">Major Multi-Phase (mixed-use)</t>
  </si>
  <si>
    <t xml:space="preserve">~20% affordable per DA (verify)</t>
  </si>
  <si>
    <t xml:space="preserve">3,491 units in Pipeline Q2 2026 multi-phase bucket</t>
  </si>
  <si>
    <t xml:space="preserve">A-19</t>
  </si>
  <si>
    <t xml:space="preserve">Potrero HOPE SF master plan (remaining phases)</t>
  </si>
  <si>
    <t xml:space="preserve">Potrero Terrace/Annex, 25th &amp; Wisconsin</t>
  </si>
  <si>
    <t xml:space="preserve">Master approval Sep 9, 2024 (1,094 units)</t>
  </si>
  <si>
    <t xml:space="preserve">Major Multi-Phase (HOPE SF)</t>
  </si>
  <si>
    <t xml:space="preserve">1:1 replacement of 606 public housing units + mixed-income</t>
  </si>
  <si>
    <t xml:space="preserve">Blocks X and B complete (see C24-07, C25-11); 2,720 units HopeSF (Potrero + Sunnydale) in Pipeline Q2 2026</t>
  </si>
  <si>
    <t xml:space="preserve">A-20</t>
  </si>
  <si>
    <t xml:space="preserve">Sunnydale HOPE SF master plan (remaining phases)</t>
  </si>
  <si>
    <t xml:space="preserve">1700 Sunnydale Ave</t>
  </si>
  <si>
    <t xml:space="preserve">Master approval Feb 5, 2024 (915 units)</t>
  </si>
  <si>
    <t xml:space="preserve">1:1 replacement of 785 public housing units + market-rate</t>
  </si>
  <si>
    <t xml:space="preserve">Mercy Housing California + Related California</t>
  </si>
  <si>
    <t xml:space="preserve">A-21</t>
  </si>
  <si>
    <t xml:space="preserve">524 Howard St (Transbay tower)</t>
  </si>
  <si>
    <t xml:space="preserve">524 Howard St</t>
  </si>
  <si>
    <t xml:space="preserve">Approved Jun 18, 2024</t>
  </si>
  <si>
    <t xml:space="preserve">Residential High-Rise (72 stories)</t>
  </si>
  <si>
    <t xml:space="preserve">68 @ 50% AMI</t>
  </si>
  <si>
    <t xml:space="preserve">(Crescent Heights per prior filings; J. Abrams Law agent)</t>
  </si>
  <si>
    <t xml:space="preserve">795 ft; 149 parking; connects to Salesforce Park</t>
  </si>
  <si>
    <t xml:space="preserve">A-22</t>
  </si>
  <si>
    <t xml:space="preserve">Potrero Yard (2500 Mariposa St - Muni bus facility + housing)</t>
  </si>
  <si>
    <t xml:space="preserve">2500 Mariposa St</t>
  </si>
  <si>
    <t xml:space="preserve">Approved Jan 11, 2024; MOHCD affordable phase in preliminary</t>
  </si>
  <si>
    <t xml:space="preserve">Mixed-Use (public facility + housing)</t>
  </si>
  <si>
    <t xml:space="preserve">99-unit MOHCD building: 98 @ 60% AMI; 24 homeless</t>
  </si>
  <si>
    <t xml:space="preserve">Potrero Neighborhood Collective (Plenary / MEDA / Tabernacle / YA Studio)</t>
  </si>
  <si>
    <t xml:space="preserve">SFMTA (owner); MEDA + Tabernacle CDC (affordable bldg)</t>
  </si>
  <si>
    <t xml:space="preserve">P3; affordable building est. start Nov 2030</t>
  </si>
  <si>
    <t xml:space="preserve">A-23</t>
  </si>
  <si>
    <t xml:space="preserve">56 Welsh St</t>
  </si>
  <si>
    <t xml:space="preserve">Approved Mar 20, 2024 (Central SoMa HSD + SDB)</t>
  </si>
  <si>
    <t xml:space="preserve">Residential (160 ft) + PDR</t>
  </si>
  <si>
    <t xml:space="preserve">78 inclusionary (est.)</t>
  </si>
  <si>
    <t xml:space="preserve">A-24</t>
  </si>
  <si>
    <t xml:space="preserve">785 Market St (office-to-residential)</t>
  </si>
  <si>
    <t xml:space="preserve">785 Market St</t>
  </si>
  <si>
    <t xml:space="preserve">Approved Feb 26, 2024</t>
  </si>
  <si>
    <t xml:space="preserve">A-25</t>
  </si>
  <si>
    <t xml:space="preserve">1401 Folsom St (SRO)</t>
  </si>
  <si>
    <t xml:space="preserve">1401 Folsom St</t>
  </si>
  <si>
    <t xml:space="preserve">Approved Jul 17, 2024 (SDB)</t>
  </si>
  <si>
    <t xml:space="preserve">SRO</t>
  </si>
  <si>
    <t xml:space="preserve">A-26</t>
  </si>
  <si>
    <t xml:space="preserve">5425 Mission St</t>
  </si>
  <si>
    <t xml:space="preserve">Approved Feb 8, 2024 (HOME-SF); MOHCD predev</t>
  </si>
  <si>
    <t xml:space="preserve">Mixed-Income (HOME-SF)</t>
  </si>
  <si>
    <t xml:space="preserve">3 @ 55%; 2 @ 80%; 1 @ 110% AMI</t>
  </si>
  <si>
    <t xml:space="preserve">Sia Consulting Corp</t>
  </si>
  <si>
    <t xml:space="preserve">A-27</t>
  </si>
  <si>
    <t xml:space="preserve">2045 Sutter St / 1950 Post St (vertical addition)</t>
  </si>
  <si>
    <t xml:space="preserve">2045 Sutter St</t>
  </si>
  <si>
    <t xml:space="preserve">Approved Jun 5, 2024</t>
  </si>
  <si>
    <t xml:space="preserve">100% Affordable (addition)</t>
  </si>
  <si>
    <t xml:space="preserve">A-28</t>
  </si>
  <si>
    <t xml:space="preserve">842 California St</t>
  </si>
  <si>
    <t xml:space="preserve">Approved Sep 26, 2024 (SDB)</t>
  </si>
  <si>
    <t xml:space="preserve">5 @ 100% AMI</t>
  </si>
  <si>
    <t xml:space="preserve">Acme Development, LLC</t>
  </si>
  <si>
    <t xml:space="preserve">Sep 2026 (MOHCD est.)</t>
  </si>
  <si>
    <t xml:space="preserve">A-29</t>
  </si>
  <si>
    <t xml:space="preserve">1526 Powell St (Delucchi Sheet Metal)</t>
  </si>
  <si>
    <t xml:space="preserve">1526 Powell St</t>
  </si>
  <si>
    <t xml:space="preserve">Approved Apr 19, 2024 (and Dec 2023)</t>
  </si>
  <si>
    <t xml:space="preserve">Mixed-Income (SDB)</t>
  </si>
  <si>
    <t xml:space="preserve">A-30</t>
  </si>
  <si>
    <t xml:space="preserve">811 Valencia St (SRO)</t>
  </si>
  <si>
    <t xml:space="preserve">811 Valencia St</t>
  </si>
  <si>
    <t xml:space="preserve">Approved Jul 31, 2024; authorized Mar 2023 (19 units)</t>
  </si>
  <si>
    <t xml:space="preserve">A-31</t>
  </si>
  <si>
    <t xml:space="preserve">294 Townsend St (two towers)</t>
  </si>
  <si>
    <t xml:space="preserve">294 Townsend St</t>
  </si>
  <si>
    <t xml:space="preserve">Approved Dec 14, 2023</t>
  </si>
  <si>
    <t xml:space="preserve">Residential High-Rise (2 towers)</t>
  </si>
  <si>
    <t xml:space="preserve">(Strada / original sponsor - verify)</t>
  </si>
  <si>
    <t xml:space="preserve">380 &amp; 400 ft towers; 1,032,528 sf residential; 271 parking</t>
  </si>
  <si>
    <t xml:space="preserve">A-32</t>
  </si>
  <si>
    <t xml:space="preserve">395 3rd St</t>
  </si>
  <si>
    <t xml:space="preserve">Approved Jun 29, 2023 (SDB); MOHCD status 3</t>
  </si>
  <si>
    <t xml:space="preserve">Residential High-Rise (347 ft)</t>
  </si>
  <si>
    <t xml:space="preserve">49 @ 50%; 17 @ 80%; 18 @ 110% AMI</t>
  </si>
  <si>
    <t xml:space="preserve">(Reuben, Junius &amp; Rose, agent)</t>
  </si>
  <si>
    <t xml:space="preserve">A-33</t>
  </si>
  <si>
    <t xml:space="preserve">469 Stevenson St</t>
  </si>
  <si>
    <t xml:space="preserve">Approved Apr 20, 2023 (SDB); MOHCD status 3</t>
  </si>
  <si>
    <t xml:space="preserve">Residential High-Rise (27 stories)</t>
  </si>
  <si>
    <t xml:space="preserve">38 @ 50%; 14 @ 80%; 14 @ 110% AMI</t>
  </si>
  <si>
    <t xml:space="preserve">Build Inc</t>
  </si>
  <si>
    <t xml:space="preserve">Prior 2021 approval overturned by BOS; re-approved 2023</t>
  </si>
  <si>
    <t xml:space="preserve">A-34</t>
  </si>
  <si>
    <t xml:space="preserve">1500 15th St (group housing)</t>
  </si>
  <si>
    <t xml:space="preserve">1500 15th St</t>
  </si>
  <si>
    <t xml:space="preserve">Approved Jan 26, 2023 (SDB); MOHCD status 3</t>
  </si>
  <si>
    <t xml:space="preserve">Group Housing</t>
  </si>
  <si>
    <t xml:space="preserve">19 @ 50%; 7 @ 80%; 6 @ 110% AMI</t>
  </si>
  <si>
    <t xml:space="preserve">Chris Elsey</t>
  </si>
  <si>
    <t xml:space="preserve">A-35</t>
  </si>
  <si>
    <t xml:space="preserve">1001 Franklin St (senior, SB 35)</t>
  </si>
  <si>
    <t xml:space="preserve">1001 Franklin St</t>
  </si>
  <si>
    <t xml:space="preserve">Approved Nov 2, 2023 (SB 35 + SDB)</t>
  </si>
  <si>
    <t xml:space="preserve">HI lists 124 net (includes ULC parcel subdivision)</t>
  </si>
  <si>
    <t xml:space="preserve">A-36</t>
  </si>
  <si>
    <t xml:space="preserve">530-540 Turk St</t>
  </si>
  <si>
    <t xml:space="preserve">Approved Dec 7, 2023 (SDB); MOHCD status 3</t>
  </si>
  <si>
    <t xml:space="preserve">8 @ 100%; 3 @ 120%; 2 @ 130% AMI</t>
  </si>
  <si>
    <t xml:space="preserve">JS Sullivan Development</t>
  </si>
  <si>
    <t xml:space="preserve">A-37</t>
  </si>
  <si>
    <t xml:space="preserve">4550-4570 Mission St</t>
  </si>
  <si>
    <t xml:space="preserve">4550 Mission St</t>
  </si>
  <si>
    <t xml:space="preserve">Approved Mar 23, 2023 (HOME-SF); MOHCD status 3</t>
  </si>
  <si>
    <t xml:space="preserve">7 @ 55%; 5 @ 80%; 5 @ 110% AMI</t>
  </si>
  <si>
    <t xml:space="preserve">(Schaub Ly Architects, agent)</t>
  </si>
  <si>
    <t xml:space="preserve">A-38</t>
  </si>
  <si>
    <t xml:space="preserve">1010 Mission St (1010V)</t>
  </si>
  <si>
    <t xml:space="preserve">1010 Mission St</t>
  </si>
  <si>
    <t xml:space="preserve">Approved Jan 12, 2023 (SDB); MOHCD status 3</t>
  </si>
  <si>
    <t xml:space="preserve">7 @ 90%; 3 @ 110%; 3 @ 130% AMI</t>
  </si>
  <si>
    <t xml:space="preserve">A-39</t>
  </si>
  <si>
    <t xml:space="preserve">988 Market St (office-to-residential, Warfield)</t>
  </si>
  <si>
    <t xml:space="preserve">988 Market St</t>
  </si>
  <si>
    <t xml:space="preserve">Approved Oct 4, 2023</t>
  </si>
  <si>
    <t xml:space="preserve">A-40</t>
  </si>
  <si>
    <t xml:space="preserve">4199 Mission St</t>
  </si>
  <si>
    <t xml:space="preserve">Approved Jul 13, 2023 (HOME-SF Tier 3); MOHCD status 3</t>
  </si>
  <si>
    <t xml:space="preserve">4 @ 80%; 4 @ 110%; 4 @ 130% AMI</t>
  </si>
  <si>
    <t xml:space="preserve">4199 Mission Street, LLC</t>
  </si>
  <si>
    <t xml:space="preserve">A-41</t>
  </si>
  <si>
    <t xml:space="preserve">67-69 Belcher St</t>
  </si>
  <si>
    <t xml:space="preserve">67 Belcher St</t>
  </si>
  <si>
    <t xml:space="preserve">Approved Mar 23, 2023; MOHCD status 3</t>
  </si>
  <si>
    <t xml:space="preserve">Oct 2028</t>
  </si>
  <si>
    <t xml:space="preserve">A-42</t>
  </si>
  <si>
    <t xml:space="preserve">2395 Sacramento St (adaptive reuse)</t>
  </si>
  <si>
    <t xml:space="preserve">2395 Sacramento St</t>
  </si>
  <si>
    <t xml:space="preserve">Approved Nov 9, 2023; MOHCD status 3</t>
  </si>
  <si>
    <t xml:space="preserve">Gokovacandir LLC</t>
  </si>
  <si>
    <t xml:space="preserve">A-43</t>
  </si>
  <si>
    <t xml:space="preserve">580 Minna St</t>
  </si>
  <si>
    <t xml:space="preserve">Approved Aug 7, 2023 (SDB)</t>
  </si>
  <si>
    <t xml:space="preserve">Residential (7 stories)</t>
  </si>
  <si>
    <t xml:space="preserve">A-44</t>
  </si>
  <si>
    <t xml:space="preserve">Parkmerced (all phases)</t>
  </si>
  <si>
    <t xml:space="preserve">3711 19th Ave</t>
  </si>
  <si>
    <t xml:space="preserve">Approved Feb 10, 2011 (DA); Phase 1A/1B site permit 2018</t>
  </si>
  <si>
    <t xml:space="preserve">Major Multi-Phase (rental)</t>
  </si>
  <si>
    <t xml:space="preserve">Phase 1A/1B 48 @ 55%; 1C/1D 27; Ph 2 36; subsequent 176 (AMI undeclared)</t>
  </si>
  <si>
    <t xml:space="preserve">5,314 units remain in Pipeline Q2 2026 multi-phase bucket; lender foreclosure/recapitalization history - verify ownership</t>
  </si>
  <si>
    <t xml:space="preserve">A-45</t>
  </si>
  <si>
    <t xml:space="preserve">Schlage Lock (Visitacion Valley)</t>
  </si>
  <si>
    <t xml:space="preserve">Bayshore Blvd &amp; Blanken Ave</t>
  </si>
  <si>
    <t xml:space="preserve">Approved Sep 2, 2014 (DA); multiphase before predevelopment</t>
  </si>
  <si>
    <t xml:space="preserve">168 inclusionary (AMI undeclared)</t>
  </si>
  <si>
    <t xml:space="preserve">(Sponsor not assigned per MOHCD; Universal Paragon originally)</t>
  </si>
  <si>
    <t xml:space="preserve">1,123 units in Pipeline Q2 2026 multi-phase bucket</t>
  </si>
  <si>
    <t xml:space="preserve">A-46</t>
  </si>
  <si>
    <t xml:space="preserve">5 Thomas Mellon Circle (Executive Park)</t>
  </si>
  <si>
    <t xml:space="preserve">5 Thomas Mellon Dr</t>
  </si>
  <si>
    <t xml:space="preserve">Approved Nov 17, 2016; MOHCD status 3</t>
  </si>
  <si>
    <t xml:space="preserve">Ownership (high-rise)</t>
  </si>
  <si>
    <t xml:space="preserve">72 @ 100% AMI</t>
  </si>
  <si>
    <t xml:space="preserve">Ocean Landing LLC</t>
  </si>
  <si>
    <t xml:space="preserve">A-47</t>
  </si>
  <si>
    <t xml:space="preserve">95 Hawthorne St</t>
  </si>
  <si>
    <t xml:space="preserve">Approved Sep 19, 2019 (SDB); MOHCD status 3</t>
  </si>
  <si>
    <t xml:space="preserve">Residential High-Rise</t>
  </si>
  <si>
    <t xml:space="preserve">32 @ 50%; 11 @ 80%; 12 @ 110% AMI</t>
  </si>
  <si>
    <t xml:space="preserve">A-48</t>
  </si>
  <si>
    <t xml:space="preserve">98 Franklin St (Hub)</t>
  </si>
  <si>
    <t xml:space="preserve">98 Franklin St</t>
  </si>
  <si>
    <t xml:space="preserve">Approved May 28, 2020; MOHCD status 3</t>
  </si>
  <si>
    <t xml:space="preserve">Mixed-Use (school + residential)</t>
  </si>
  <si>
    <t xml:space="preserve">69 @ 55% AMI</t>
  </si>
  <si>
    <t xml:space="preserve">Related California (with International High School)</t>
  </si>
  <si>
    <t xml:space="preserve">A-49</t>
  </si>
  <si>
    <t xml:space="preserve">180 Hawthorne St</t>
  </si>
  <si>
    <t xml:space="preserve">MOHCD status 3 (2025)</t>
  </si>
  <si>
    <t xml:space="preserve">10 @ 40%; 31 @ 55%; 15 @ 80% AMI</t>
  </si>
  <si>
    <t xml:space="preserve">A-50</t>
  </si>
  <si>
    <t xml:space="preserve">475 Minna St</t>
  </si>
  <si>
    <t xml:space="preserve">Approved Dec 10, 2015; MOHCD status 3</t>
  </si>
  <si>
    <t xml:space="preserve">Group Housing / SRO</t>
  </si>
  <si>
    <t xml:space="preserve">22 @ 50%; 79 @ 80%; 3 @ 90%; 5 @ 110% AMI</t>
  </si>
  <si>
    <t xml:space="preserve">A-51</t>
  </si>
  <si>
    <t xml:space="preserve">1526-1560 Folsom St</t>
  </si>
  <si>
    <t xml:space="preserve">1526 Folsom St</t>
  </si>
  <si>
    <t xml:space="preserve">Approved Feb 18, 2021; MOHCD status 3</t>
  </si>
  <si>
    <t xml:space="preserve">20 @ 50%; 7 @ 80%; 7 @ 110% AMI</t>
  </si>
  <si>
    <t xml:space="preserve">L37 Partners</t>
  </si>
  <si>
    <t xml:space="preserve">A-52</t>
  </si>
  <si>
    <t xml:space="preserve">600 McAllister St</t>
  </si>
  <si>
    <t xml:space="preserve">Approved Feb 10, 2022; MOHCD status 3</t>
  </si>
  <si>
    <t xml:space="preserve">17 @ 50%; 6 @ 80%; 6 @ 110% AMI</t>
  </si>
  <si>
    <t xml:space="preserve">S. Hekemian Group</t>
  </si>
  <si>
    <t xml:space="preserve">Giannini Properties No. 1 (owner)</t>
  </si>
  <si>
    <t xml:space="preserve">A-53</t>
  </si>
  <si>
    <t xml:space="preserve">400-444 Divisadero St</t>
  </si>
  <si>
    <t xml:space="preserve">400 Divisadero St</t>
  </si>
  <si>
    <t xml:space="preserve">Approved May 23, 2019; MOHCD status 3</t>
  </si>
  <si>
    <t xml:space="preserve">23 @ 50%; 7 @ 80%; 7 @ 110% AMI</t>
  </si>
  <si>
    <t xml:space="preserve">Genesis CA Development LLC</t>
  </si>
  <si>
    <t xml:space="preserve">A-54</t>
  </si>
  <si>
    <t xml:space="preserve">321 Florida St</t>
  </si>
  <si>
    <t xml:space="preserve">Approved Feb 25, 2021; MOHCD status 3</t>
  </si>
  <si>
    <t xml:space="preserve">14 @ 50%; 4 @ 80%; 5 @ 110% AMI</t>
  </si>
  <si>
    <t xml:space="preserve">A-55</t>
  </si>
  <si>
    <t xml:space="preserve">401 South Van Ness Ave (group housing)</t>
  </si>
  <si>
    <t xml:space="preserve">401 South Van Ness Ave</t>
  </si>
  <si>
    <t xml:space="preserve">Approved Oct 26, 2023; MOHCD status 3</t>
  </si>
  <si>
    <t xml:space="preserve">16 @ 50%; 5 @ 80%; 5 @ 110% AMI</t>
  </si>
  <si>
    <t xml:space="preserve">Prime Design LLC</t>
  </si>
  <si>
    <t xml:space="preserve">Pipeline dataset shows 182 bedroom suites</t>
  </si>
  <si>
    <t xml:space="preserve">A-56</t>
  </si>
  <si>
    <t xml:space="preserve">429 Beale St / 430 Main St</t>
  </si>
  <si>
    <t xml:space="preserve">429 Beale St</t>
  </si>
  <si>
    <t xml:space="preserve">Approved May 24, 2018; MOHCD status 3</t>
  </si>
  <si>
    <t xml:space="preserve">19 @ 55% AMI</t>
  </si>
  <si>
    <t xml:space="preserve">A-57</t>
  </si>
  <si>
    <t xml:space="preserve">725 Jamestown Ave</t>
  </si>
  <si>
    <t xml:space="preserve">Approved Jul 24, 2020; MOHCD status 3</t>
  </si>
  <si>
    <t xml:space="preserve">22 (AMI undeclared)</t>
  </si>
  <si>
    <t xml:space="preserve">A-58</t>
  </si>
  <si>
    <t xml:space="preserve">560 Brannan St</t>
  </si>
  <si>
    <t xml:space="preserve">Approved Nov 18, 2021; MOHCD status 3</t>
  </si>
  <si>
    <t xml:space="preserve">10 @ 50%; 4 @ 80%; 4 @ 110% AMI</t>
  </si>
  <si>
    <t xml:space="preserve">560 Brannan Street, LLC</t>
  </si>
  <si>
    <t xml:space="preserve">Jan 2026 (MOHCD est. - stale)</t>
  </si>
  <si>
    <t xml:space="preserve">A-59</t>
  </si>
  <si>
    <t xml:space="preserve">550 O'Farrell St</t>
  </si>
  <si>
    <t xml:space="preserve">Approved Jan 14, 2021; MOHCD status 3</t>
  </si>
  <si>
    <t xml:space="preserve">13 @ 50%; 4 @ 80%; 5 @ 110% AMI</t>
  </si>
  <si>
    <t xml:space="preserve">Sandhill O'Farrell LLC</t>
  </si>
  <si>
    <t xml:space="preserve">A-60</t>
  </si>
  <si>
    <t xml:space="preserve">888 Tennessee St</t>
  </si>
  <si>
    <t xml:space="preserve">Approved Oct 19, 2017; MOHCD status 3</t>
  </si>
  <si>
    <t xml:space="preserve">17 @ 100% AMI</t>
  </si>
  <si>
    <t xml:space="preserve">A-61</t>
  </si>
  <si>
    <t xml:space="preserve">5250 3rd St</t>
  </si>
  <si>
    <t xml:space="preserve">Approved Jun 16, 2022 (AHB); MOHCD status 3</t>
  </si>
  <si>
    <t xml:space="preserve">Mixed-Income (AHB)</t>
  </si>
  <si>
    <t xml:space="preserve">10 @ 50%; 10 @ 80%; 10 @ 110% AMI</t>
  </si>
  <si>
    <t xml:space="preserve">A-62</t>
  </si>
  <si>
    <t xml:space="preserve">262 7th St</t>
  </si>
  <si>
    <t xml:space="preserve">Approved Oct 3, 2019; MOHCD status 3</t>
  </si>
  <si>
    <t xml:space="preserve">9 @ 50%; 4 @ 80%; 4 @ 110% AMI</t>
  </si>
  <si>
    <t xml:space="preserve">Nader Heydayian</t>
  </si>
  <si>
    <t xml:space="preserve">A-63</t>
  </si>
  <si>
    <t xml:space="preserve">2670 Geary Blvd</t>
  </si>
  <si>
    <t xml:space="preserve">Approved Nov 30, 2017; MOHCD status 3</t>
  </si>
  <si>
    <t xml:space="preserve">22 @ 55% AMI</t>
  </si>
  <si>
    <t xml:space="preserve">Dec 2026 (MOHCD est.)</t>
  </si>
  <si>
    <t xml:space="preserve">A-64</t>
  </si>
  <si>
    <t xml:space="preserve">2140 Market St</t>
  </si>
  <si>
    <t xml:space="preserve">Approved Jul 31, 2018; MOHCD status 3</t>
  </si>
  <si>
    <t xml:space="preserve">9 @ 50%; 1 @ 80%; 3 @ 110% AMI</t>
  </si>
  <si>
    <t xml:space="preserve">A-65</t>
  </si>
  <si>
    <t xml:space="preserve">955 Post St</t>
  </si>
  <si>
    <t xml:space="preserve">Approved Nov 19, 2020; MOHCD status 3</t>
  </si>
  <si>
    <t xml:space="preserve">10 @ 50%; 3 @ 80%; 4 @ 110% AMI</t>
  </si>
  <si>
    <t xml:space="preserve">A-66</t>
  </si>
  <si>
    <t xml:space="preserve">2050 Van Ness Ave / 1675 Pacific</t>
  </si>
  <si>
    <t xml:space="preserve">2050 Van Ness Ave</t>
  </si>
  <si>
    <t xml:space="preserve">Approved Jul 25, 2019; MOHCD status 3</t>
  </si>
  <si>
    <t xml:space="preserve">6 @ 50%; 2 @ 80%; 3 @ 110% AMI</t>
  </si>
  <si>
    <t xml:space="preserve">A-67</t>
  </si>
  <si>
    <t xml:space="preserve">1052-1060 Folsom St</t>
  </si>
  <si>
    <t xml:space="preserve">1052 Folsom St</t>
  </si>
  <si>
    <t xml:space="preserve">Approved Dec 20, 2018; MOHCD status 3</t>
  </si>
  <si>
    <t xml:space="preserve">10 @ 50%; 2 @ 80%; 2 @ 110% AMI</t>
  </si>
  <si>
    <t xml:space="preserve">Golden Properties, LLC</t>
  </si>
  <si>
    <t xml:space="preserve">A-68</t>
  </si>
  <si>
    <t xml:space="preserve">755 Brannan St</t>
  </si>
  <si>
    <t xml:space="preserve">Approved Aug 22, 2019; MOHCD status 3</t>
  </si>
  <si>
    <t xml:space="preserve">5 @ 50%; 1 @ 80%; 2 @ 110% AMI</t>
  </si>
  <si>
    <t xml:space="preserve">SF Green Homes, LLC</t>
  </si>
  <si>
    <t xml:space="preserve">A-69</t>
  </si>
  <si>
    <t xml:space="preserve">3314 Cesar Chavez St</t>
  </si>
  <si>
    <t xml:space="preserve">6 @ 80%; 2 @ 110%; 3 @ 130% AMI</t>
  </si>
  <si>
    <t xml:space="preserve">A-70</t>
  </si>
  <si>
    <t xml:space="preserve">1196 Columbus Ave</t>
  </si>
  <si>
    <t xml:space="preserve">Approved Sep 15, 2022; MOHCD status 3</t>
  </si>
  <si>
    <t xml:space="preserve">6 @ 50%; 2 @ 80%; 2 @ 110% AMI</t>
  </si>
  <si>
    <t xml:space="preserve">A-71</t>
  </si>
  <si>
    <t xml:space="preserve">828 Brannan St</t>
  </si>
  <si>
    <t xml:space="preserve">Approved Apr 25, 2019; MOHCD status 3</t>
  </si>
  <si>
    <t xml:space="preserve">9 @ 55% AMI</t>
  </si>
  <si>
    <t xml:space="preserve">828 Brannan Partners (S. Hekemian Group)</t>
  </si>
  <si>
    <t xml:space="preserve">A-72</t>
  </si>
  <si>
    <t xml:space="preserve">2055 Chestnut St</t>
  </si>
  <si>
    <t xml:space="preserve">Approved Mar 24, 2022; MOHCD status 3</t>
  </si>
  <si>
    <t xml:space="preserve">5 @ 50%; 2 @ 80%; 2 @ 100% AMI</t>
  </si>
  <si>
    <t xml:space="preserve">Prado Group</t>
  </si>
  <si>
    <t xml:space="preserve">May 2026 (MOHCD est.)</t>
  </si>
  <si>
    <t xml:space="preserve">A-73</t>
  </si>
  <si>
    <t xml:space="preserve">2800 Geary Blvd</t>
  </si>
  <si>
    <t xml:space="preserve">Approved Jun 17, 2021; MOHCD status 3</t>
  </si>
  <si>
    <t xml:space="preserve">5 @ 80%; 4 @ 110%; 4 @ 130% AMI</t>
  </si>
  <si>
    <t xml:space="preserve">A-74</t>
  </si>
  <si>
    <t xml:space="preserve">3601 Lawton St</t>
  </si>
  <si>
    <t xml:space="preserve">Approved Dec 21, 2017; MOHCD status 3</t>
  </si>
  <si>
    <t xml:space="preserve">4 @ 55%; 3 @ 110%; 3 @ 130% AMI</t>
  </si>
  <si>
    <t xml:space="preserve">A-75</t>
  </si>
  <si>
    <t xml:space="preserve">618-630 Octavia St</t>
  </si>
  <si>
    <t xml:space="preserve">618 Octavia St</t>
  </si>
  <si>
    <t xml:space="preserve">Approved Apr 28, 2022; MOHCD status 3</t>
  </si>
  <si>
    <t xml:space="preserve">7 @ 80%; 1 @ 110%; 2 @ 130% AMI</t>
  </si>
  <si>
    <t xml:space="preserve">March Capital Fund</t>
  </si>
  <si>
    <t xml:space="preserve">A-76</t>
  </si>
  <si>
    <t xml:space="preserve">1245 Folsom St</t>
  </si>
  <si>
    <t xml:space="preserve">Approved Oct 4, 2018; MOHCD status 3</t>
  </si>
  <si>
    <t xml:space="preserve">1 @ 80%; 3 @ 110%; 3 @ 130% AMI</t>
  </si>
  <si>
    <t xml:space="preserve">A-77</t>
  </si>
  <si>
    <t xml:space="preserve">350 Ocean Ave</t>
  </si>
  <si>
    <t xml:space="preserve">Approved May 19, 2022; MOHCD status 3</t>
  </si>
  <si>
    <t xml:space="preserve">4 @ 50%; 1 @ 80%; 1 @ 110% AMI</t>
  </si>
  <si>
    <t xml:space="preserve">A-78</t>
  </si>
  <si>
    <t xml:space="preserve">5012 3rd St</t>
  </si>
  <si>
    <t xml:space="preserve">Approved Jul 29, 2021; MOHCD status 3</t>
  </si>
  <si>
    <t xml:space="preserve">2 @ 80%; 2 @ 110%; 1 @ 130% AMI</t>
  </si>
  <si>
    <t xml:space="preserve">A-79</t>
  </si>
  <si>
    <t xml:space="preserve">2955 Mission St</t>
  </si>
  <si>
    <t xml:space="preserve">Approved Jun 9, 2022; MOHCD status 3</t>
  </si>
  <si>
    <t xml:space="preserve">Ownership (100% BMR)</t>
  </si>
  <si>
    <t xml:space="preserve">18 (AMI undeclared)</t>
  </si>
  <si>
    <t xml:space="preserve">A-80</t>
  </si>
  <si>
    <t xml:space="preserve">240-250 Church St</t>
  </si>
  <si>
    <t xml:space="preserve">240 Church St</t>
  </si>
  <si>
    <t xml:space="preserve">Approved Dec 2, 2021; MOHCD status 3</t>
  </si>
  <si>
    <t xml:space="preserve">A-81</t>
  </si>
  <si>
    <t xml:space="preserve">4716-4722 Mission St</t>
  </si>
  <si>
    <t xml:space="preserve">4716 Mission St</t>
  </si>
  <si>
    <t xml:space="preserve">Approved Jul 22, 2021; MOHCD status 3</t>
  </si>
  <si>
    <t xml:space="preserve">3 (AMI undeclared)</t>
  </si>
  <si>
    <t xml:space="preserve">Tortilla Flats LLC</t>
  </si>
  <si>
    <t xml:space="preserve">A-82</t>
  </si>
  <si>
    <t xml:space="preserve">1228 Folsom St</t>
  </si>
  <si>
    <t xml:space="preserve">Approved Jan 5, 2017; MOHCD status 3</t>
  </si>
  <si>
    <t xml:space="preserve">A-83</t>
  </si>
  <si>
    <t xml:space="preserve">2300 Harrison St</t>
  </si>
  <si>
    <t xml:space="preserve">Approved Dec 12, 2019; MOHCD status 3</t>
  </si>
  <si>
    <t xml:space="preserve">3 @ 50% AMI</t>
  </si>
  <si>
    <t xml:space="preserve">A-84</t>
  </si>
  <si>
    <t xml:space="preserve">430 Eddy St</t>
  </si>
  <si>
    <t xml:space="preserve">Approved Mar 17, 2016; MOHCD status 3</t>
  </si>
  <si>
    <t xml:space="preserve">A-85</t>
  </si>
  <si>
    <t xml:space="preserve">850 Bush St</t>
  </si>
  <si>
    <t xml:space="preserve">Approved Dec 16, 2021; MOHCD status 3</t>
  </si>
  <si>
    <t xml:space="preserve">A-86</t>
  </si>
  <si>
    <t xml:space="preserve">600 20th St</t>
  </si>
  <si>
    <t xml:space="preserve">Approved Jun 14, 2018; MOHCD status 3</t>
  </si>
  <si>
    <t xml:space="preserve">Workshop 1</t>
  </si>
  <si>
    <t xml:space="preserve">A-87</t>
  </si>
  <si>
    <t xml:space="preserve">519 Ellis St</t>
  </si>
  <si>
    <t xml:space="preserve">Approved Jun 13, 2018; MOHCD status 3</t>
  </si>
  <si>
    <t xml:space="preserve">A-88</t>
  </si>
  <si>
    <t xml:space="preserve">1525 Pine St</t>
  </si>
  <si>
    <t xml:space="preserve">A-89</t>
  </si>
  <si>
    <t xml:space="preserve">875 Sansome St</t>
  </si>
  <si>
    <t xml:space="preserve">Approved Mar 18, 2026; MOHCD status 3</t>
  </si>
  <si>
    <t xml:space="preserve">N17 Development</t>
  </si>
  <si>
    <t xml:space="preserve">A-90</t>
  </si>
  <si>
    <t xml:space="preserve">3832 18th St</t>
  </si>
  <si>
    <t xml:space="preserve">Approved Oct 14, 2021; MOHCD status 3</t>
  </si>
  <si>
    <t xml:space="preserve">A-91</t>
  </si>
  <si>
    <t xml:space="preserve">6424 3rd St</t>
  </si>
  <si>
    <t xml:space="preserve">Approved May 13, 2021; MOHCD status 3</t>
  </si>
  <si>
    <t xml:space="preserve">2 (AMI undeclared)</t>
  </si>
  <si>
    <t xml:space="preserve">Antrea Investments &amp; Trading LLC</t>
  </si>
  <si>
    <t xml:space="preserve">A-92</t>
  </si>
  <si>
    <t xml:space="preserve">4512 23rd St</t>
  </si>
  <si>
    <t xml:space="preserve">Approved Oct 21, 2021 (AHB); MOHCD status 3</t>
  </si>
  <si>
    <t xml:space="preserve">1 @ 55%; 1 @ 80%; 1 @ 110% AMI</t>
  </si>
  <si>
    <t xml:space="preserve">A-93</t>
  </si>
  <si>
    <t xml:space="preserve">5272-5280 3rd St</t>
  </si>
  <si>
    <t xml:space="preserve">5272 3rd St</t>
  </si>
  <si>
    <t xml:space="preserve">Approved Nov 17, 2022; MOHCD status 3</t>
  </si>
  <si>
    <t xml:space="preserve">1 @ 50% AMI</t>
  </si>
  <si>
    <t xml:space="preserve">Alfred Twu</t>
  </si>
  <si>
    <t xml:space="preserve">A-94</t>
  </si>
  <si>
    <t xml:space="preserve">820 Post St</t>
  </si>
  <si>
    <t xml:space="preserve">Approved Feb 21, 2019; MOHCD status 3</t>
  </si>
  <si>
    <t xml:space="preserve">A-95</t>
  </si>
  <si>
    <t xml:space="preserve">2338-2350 19th Ave</t>
  </si>
  <si>
    <t xml:space="preserve">2350 19th Ave</t>
  </si>
  <si>
    <t xml:space="preserve">Approved Jul 8, 2016 (fee payment); site permit 2017</t>
  </si>
  <si>
    <t xml:space="preserve">Market-rate</t>
  </si>
  <si>
    <t xml:space="preserve">fee payment</t>
  </si>
  <si>
    <t xml:space="preserve">F-01</t>
  </si>
  <si>
    <t xml:space="preserve">15 Marina Blvd (Marina Safeway redevelopment)</t>
  </si>
  <si>
    <t xml:space="preserve">15 Marina Blvd</t>
  </si>
  <si>
    <t xml:space="preserve">Application filed 2025 (HI 2025 A-4); approved per SF Chronicle Apr 2026 - verify</t>
  </si>
  <si>
    <t xml:space="preserve">Mixed-Use (grocery + residential)</t>
  </si>
  <si>
    <t xml:space="preserve">Align Real Estate (Safeway site)</t>
  </si>
  <si>
    <t xml:space="preserve">Controversial; check Planning Commission action 2026</t>
  </si>
  <si>
    <t xml:space="preserve">F-02</t>
  </si>
  <si>
    <t xml:space="preserve">2750 Sloat Blvd (100% affordable high-rise)</t>
  </si>
  <si>
    <t xml:space="preserve">2750 Sloat Blvd</t>
  </si>
  <si>
    <t xml:space="preserve">Application filed 2025 (revised scope, AB 2011)</t>
  </si>
  <si>
    <t xml:space="preserve">100% Affordable (high-rise)</t>
  </si>
  <si>
    <t xml:space="preserve">(Sloat Garden Center site; earlier 2700 Sloat 650-714 unit mixed-income filings 2023-24)</t>
  </si>
  <si>
    <t xml:space="preserve">F-03</t>
  </si>
  <si>
    <t xml:space="preserve">77 Beale St / 25 Beale St conversion (PG&amp;E HQ site)</t>
  </si>
  <si>
    <t xml:space="preserve">77 Beale St</t>
  </si>
  <si>
    <t xml:space="preserve">Application filed 2025 (EIR); 44-120 + up to 317 units variants</t>
  </si>
  <si>
    <t xml:space="preserve">Mixed-Use mega-project</t>
  </si>
  <si>
    <t xml:space="preserve">Hines (site buyer)</t>
  </si>
  <si>
    <t xml:space="preserve">F-04</t>
  </si>
  <si>
    <t xml:space="preserve">536 Mission St (Golden Gate University site)</t>
  </si>
  <si>
    <t xml:space="preserve">536 Mission St</t>
  </si>
  <si>
    <t xml:space="preserve">Application filed 2025 (mixed-use variant 385 units)</t>
  </si>
  <si>
    <t xml:space="preserve">Office/Residential tower variant</t>
  </si>
  <si>
    <t xml:space="preserve">F-05</t>
  </si>
  <si>
    <t xml:space="preserve">1023 Mission St</t>
  </si>
  <si>
    <t xml:space="preserve">Application filed 2025 (AB 2011 + SDB)</t>
  </si>
  <si>
    <t xml:space="preserve">Mixed-Income (20 stories)</t>
  </si>
  <si>
    <t xml:space="preserve">F-06</t>
  </si>
  <si>
    <t xml:space="preserve">1965 Market St (23-story SDB)</t>
  </si>
  <si>
    <t xml:space="preserve">Application filed 2025 (SDB)</t>
  </si>
  <si>
    <t xml:space="preserve">17 @ 50%; 17 @ 120% AMI</t>
  </si>
  <si>
    <t xml:space="preserve">F-07</t>
  </si>
  <si>
    <t xml:space="preserve">1234 Great Highway (senior + ADHC)</t>
  </si>
  <si>
    <t xml:space="preserve">1234 Great Hwy</t>
  </si>
  <si>
    <t xml:space="preserve">Application filed 2025; MOHCD predevelopment</t>
  </si>
  <si>
    <t xml:space="preserve">20 @ 20%; 177 @ 40% AMI; 99 homeless</t>
  </si>
  <si>
    <t xml:space="preserve">Self-Help for the Elderly</t>
  </si>
  <si>
    <t xml:space="preserve">Dec 2029</t>
  </si>
  <si>
    <t xml:space="preserve">F-08</t>
  </si>
  <si>
    <t xml:space="preserve">1979 Mission St Family (Parcels 2 &amp; 3)</t>
  </si>
  <si>
    <t xml:space="preserve">1979 Mission St</t>
  </si>
  <si>
    <t xml:space="preserve">Application filed 2025 (SB 330/AB 2011); MOHCD predevelopment</t>
  </si>
  <si>
    <t xml:space="preserve">77 @ 30%; 134 @ 55%; 35 @ 60% AMI</t>
  </si>
  <si>
    <t xml:space="preserve">Jan 2033</t>
  </si>
  <si>
    <t xml:space="preserve">134-unit high-rise + 112-unit mid-rise; start Jan 2030</t>
  </si>
  <si>
    <t xml:space="preserve">F-09</t>
  </si>
  <si>
    <t xml:space="preserve">249 Pennsylvania Ave (family PSH)</t>
  </si>
  <si>
    <t xml:space="preserve">249 Pennsylvania Ave</t>
  </si>
  <si>
    <t xml:space="preserve">Approved Apr 27, 2026 (MOHCD entitlement date); filed 2025</t>
  </si>
  <si>
    <t xml:space="preserve">37 @ 30%; 27 @ 40%; 28 @ 50%; 31 @ 55% AMI; 32 LOSP</t>
  </si>
  <si>
    <t xml:space="preserve">Young Community Developers</t>
  </si>
  <si>
    <t xml:space="preserve">Dec 2028</t>
  </si>
  <si>
    <t xml:space="preserve">Start Jun 2027; 9-story</t>
  </si>
  <si>
    <t xml:space="preserve">F-10</t>
  </si>
  <si>
    <t xml:space="preserve">1025 Howard St</t>
  </si>
  <si>
    <t xml:space="preserve">Application filed 2025 (SB 423)</t>
  </si>
  <si>
    <t xml:space="preserve">Residential (9 stories)</t>
  </si>
  <si>
    <t xml:space="preserve">F-11</t>
  </si>
  <si>
    <t xml:space="preserve">1601 Ocean Ave</t>
  </si>
  <si>
    <t xml:space="preserve">Application filed 2025 (AB 2011)</t>
  </si>
  <si>
    <t xml:space="preserve">18 @ 55% AMI</t>
  </si>
  <si>
    <t xml:space="preserve">F-12</t>
  </si>
  <si>
    <t xml:space="preserve">222 Capp St</t>
  </si>
  <si>
    <t xml:space="preserve">Residential (8 stories)</t>
  </si>
  <si>
    <t xml:space="preserve">F-13</t>
  </si>
  <si>
    <t xml:space="preserve">3275 San Bruno Ave</t>
  </si>
  <si>
    <t xml:space="preserve">Residential (3 bldgs)</t>
  </si>
  <si>
    <t xml:space="preserve">F-14</t>
  </si>
  <si>
    <t xml:space="preserve">2101 Lombard St</t>
  </si>
  <si>
    <t xml:space="preserve">F-15</t>
  </si>
  <si>
    <t xml:space="preserve">598 Bryant St</t>
  </si>
  <si>
    <t xml:space="preserve">Application filed 2024 (31-story)</t>
  </si>
  <si>
    <t xml:space="preserve">54 inclusionary (est., HI 2023 A-6)</t>
  </si>
  <si>
    <t xml:space="preserve">Tishman Speyer site (prior office approval); linked to 160 Freelon land dedication</t>
  </si>
  <si>
    <t xml:space="preserve">F-16</t>
  </si>
  <si>
    <t xml:space="preserve">952 Howard St (mass timber vertical addition)</t>
  </si>
  <si>
    <t xml:space="preserve">952 Howard St</t>
  </si>
  <si>
    <t xml:space="preserve">Application filed 2024</t>
  </si>
  <si>
    <t xml:space="preserve">Residential (16-story mass timber over 3-story base)</t>
  </si>
  <si>
    <t xml:space="preserve">F-17</t>
  </si>
  <si>
    <t xml:space="preserve">2011 Bay Shore Blvd (family)</t>
  </si>
  <si>
    <t xml:space="preserve">2011 Bay Shore Blvd</t>
  </si>
  <si>
    <t xml:space="preserve">F-18</t>
  </si>
  <si>
    <t xml:space="preserve">667 Folsom St</t>
  </si>
  <si>
    <t xml:space="preserve">Approved 2017; performance period extended 2023</t>
  </si>
  <si>
    <t xml:space="preserve">Residential (13 stories)</t>
  </si>
  <si>
    <t xml:space="preserve">F-19</t>
  </si>
  <si>
    <t xml:space="preserve">1462 Pine St</t>
  </si>
  <si>
    <t xml:space="preserve">Application filed 2023 (SDB)</t>
  </si>
  <si>
    <t xml:space="preserve">F-20</t>
  </si>
  <si>
    <t xml:space="preserve">955 Sansome St</t>
  </si>
  <si>
    <t xml:space="preserve">Application filed 2023, revised Jan 2024 (SDB + AB 1287)</t>
  </si>
  <si>
    <t xml:space="preserve">Mixed-Use (24 stories)</t>
  </si>
  <si>
    <t xml:space="preserve">16 @ 80%; 10 @ 120% AMI</t>
  </si>
  <si>
    <t xml:space="preserve">F-21</t>
  </si>
  <si>
    <t xml:space="preserve">1311 Quesada Ave</t>
  </si>
  <si>
    <t xml:space="preserve">Application filed 2023</t>
  </si>
  <si>
    <t xml:space="preserve">F-22</t>
  </si>
  <si>
    <t xml:space="preserve">Laguna Honda Hospital Senior Housing (375 Laguna Honda)</t>
  </si>
  <si>
    <t xml:space="preserve">375 Laguna Honda Blvd</t>
  </si>
  <si>
    <t xml:space="preserve">MOHCD Predevelopment Feasibility</t>
  </si>
  <si>
    <t xml:space="preserve">32 @ 20%; 72 @ 30%; 22 @ 50%; 32 @ 60% AMI</t>
  </si>
  <si>
    <t xml:space="preserve">Nov 2029</t>
  </si>
  <si>
    <t xml:space="preserve">F-23</t>
  </si>
  <si>
    <t xml:space="preserve">Potrero Yard Affordable Housing (2888 Bryant St)</t>
  </si>
  <si>
    <t xml:space="preserve">2888 Bryant St</t>
  </si>
  <si>
    <t xml:space="preserve">MOHCD Preliminary Phase</t>
  </si>
  <si>
    <t xml:space="preserve">98 @ 60% AMI; 24 homeless</t>
  </si>
  <si>
    <t xml:space="preserve">Nov 2032</t>
  </si>
  <si>
    <t xml:space="preserve">F-24</t>
  </si>
  <si>
    <t xml:space="preserve">Mission Bay South Block 4 East Phase I (506 China Basin)</t>
  </si>
  <si>
    <t xml:space="preserve">506 China Basin St</t>
  </si>
  <si>
    <t xml:space="preserve">Entitled Nov 18, 2025 (OCII); BP issuance est. Jun 2026</t>
  </si>
  <si>
    <t xml:space="preserve">30 @ 30%; 39 @ 40%; 15 @ 55%; 36 @ 60%; 26 @ 80%; 17 @ 90% AMI; 33 homeless</t>
  </si>
  <si>
    <t xml:space="preserve">Curtis Development</t>
  </si>
  <si>
    <t xml:space="preserve">Bayview Senior Services</t>
  </si>
  <si>
    <t xml:space="preserve">Jul 2030</t>
  </si>
  <si>
    <t xml:space="preserve">F-25</t>
  </si>
  <si>
    <t xml:space="preserve">Mission Bay South Block 4 East Phase II (505 Mission Rock St)</t>
  </si>
  <si>
    <t xml:space="preserve">505 Mission Rock St</t>
  </si>
  <si>
    <t xml:space="preserve">Entitled Nov 18, 2025 (OCII)</t>
  </si>
  <si>
    <t xml:space="preserve">14 @ 30%; 33 @ 40%; 87 @ 50%; 41 @ 60%; 32 @ 80%; 24 @ 90% AMI; 47 LOSP</t>
  </si>
  <si>
    <t xml:space="preserve">Jan 2029</t>
  </si>
  <si>
    <t xml:space="preserve">F-26</t>
  </si>
  <si>
    <t xml:space="preserve">Mission Bay South Block 12 West</t>
  </si>
  <si>
    <t xml:space="preserve">Mission Bay S Block 12W</t>
  </si>
  <si>
    <t xml:space="preserve">Multiphase before predevelopment (OCII)</t>
  </si>
  <si>
    <t xml:space="preserve">F-27</t>
  </si>
  <si>
    <t xml:space="preserve">Transbay Block 4 West (family, 100% affordable)</t>
  </si>
  <si>
    <t xml:space="preserve">Transbay Block 4W</t>
  </si>
  <si>
    <t xml:space="preserve">Multiphase before predevelopment (OCII/MOHCD)</t>
  </si>
  <si>
    <t xml:space="preserve">45 @ 40%; 108 @ 50%; 158 @ 55% AMI; 63 LOSP</t>
  </si>
  <si>
    <t xml:space="preserve">Dec 2030</t>
  </si>
  <si>
    <t xml:space="preserve">Part of Transbay Block 4 (Hines/Urban Pacific tower + affordable podium); 340-unit tower with 51 inclusionary est. 2034</t>
  </si>
  <si>
    <t xml:space="preserve">F-28</t>
  </si>
  <si>
    <t xml:space="preserve">Transbay Block 12</t>
  </si>
  <si>
    <t xml:space="preserve">Jun 2031</t>
  </si>
  <si>
    <t xml:space="preserve">F-29</t>
  </si>
  <si>
    <t xml:space="preserve">Treasure Island IC4.3 - HomeRise family</t>
  </si>
  <si>
    <t xml:space="preserve">401 California Ave, Treasure Island</t>
  </si>
  <si>
    <t xml:space="preserve">Design with Entitlements Approved (MOHCD status 3)</t>
  </si>
  <si>
    <t xml:space="preserve">100% Affordable (family; HomeRise replacement)</t>
  </si>
  <si>
    <t xml:space="preserve">94 @ 50%; 25 @ 60% AMI; 30 undeclared</t>
  </si>
  <si>
    <t xml:space="preserve">Catholic Charities San Francisco</t>
  </si>
  <si>
    <t xml:space="preserve">May 2029</t>
  </si>
  <si>
    <t xml:space="preserve">F-30</t>
  </si>
  <si>
    <t xml:space="preserve">HPSY II-CPS Block 11A (Candlestick)</t>
  </si>
  <si>
    <t xml:space="preserve">Candlestick Point Block 11A</t>
  </si>
  <si>
    <t xml:space="preserve">Design with Entitlements Approved (OCII, 2018)</t>
  </si>
  <si>
    <t xml:space="preserve">175 @ 60% AMI; 38 homeless</t>
  </si>
  <si>
    <t xml:space="preserve">F-31</t>
  </si>
  <si>
    <t xml:space="preserve">HPSY II-CPN Block 10A (Candlestick)</t>
  </si>
  <si>
    <t xml:space="preserve">Candlestick Point Block 10A</t>
  </si>
  <si>
    <t xml:space="preserve">Design with Entitlements Approved (OCII, 2017)</t>
  </si>
  <si>
    <t xml:space="preserve">155 @ 60% AMI; 35 homeless</t>
  </si>
  <si>
    <t xml:space="preserve">Jun 2034</t>
  </si>
  <si>
    <t xml:space="preserve">F-32</t>
  </si>
  <si>
    <t xml:space="preserve">Alice Griffith Phase 5 &amp; 6 (HOPE SF, Candlestick)</t>
  </si>
  <si>
    <t xml:space="preserve">Candlestick Point Blocks 9,14,15</t>
  </si>
  <si>
    <t xml:space="preserve">Ph5: 30 @ 50%; 5 @ 60%; Ph6: 130 @ 50% AMI</t>
  </si>
  <si>
    <t xml:space="preserve">McCormack Baron Salazar</t>
  </si>
  <si>
    <t xml:space="preserve">2036-2037</t>
  </si>
  <si>
    <t xml:space="preserve">F-33</t>
  </si>
  <si>
    <t xml:space="preserve">Candlestick Point / HP Shipyard other affordable blocks (6B, 4B, 7, CP-02 senior, Block 48 OCII 1&amp;2)</t>
  </si>
  <si>
    <t xml:space="preserve">Candlestick Point / HPS Phase 1</t>
  </si>
  <si>
    <t xml:space="preserve">100% Affordable (various)</t>
  </si>
  <si>
    <t xml:space="preserve">AMI undeclared / 60%</t>
  </si>
  <si>
    <t xml:space="preserve">Sponsors not yet assigned (FivePoint master developer)</t>
  </si>
  <si>
    <t xml:space="preserve">2029-2036</t>
  </si>
  <si>
    <t xml:space="preserve">Aggregated: 105+90+60+105+74+70; Candlestick/HPS = 9,637 units in Pipeline Q2 2026 multi-phase bucket</t>
  </si>
  <si>
    <t xml:space="preserve">F-34</t>
  </si>
  <si>
    <t xml:space="preserve">Freedom West (remaining phases)</t>
  </si>
  <si>
    <t xml:space="preserve">Fillmore &amp; Golden Gate</t>
  </si>
  <si>
    <t xml:space="preserve">Development Agreement approved 2024-25; senior phase approved</t>
  </si>
  <si>
    <t xml:space="preserve">Major Multi-Phase (co-op replacement + mixed-income)</t>
  </si>
  <si>
    <t xml:space="preserve">382 co-op replacement + BMR TBD</t>
  </si>
  <si>
    <t xml:space="preserve">MacFarlane Partners / Freedom West Homes Corp</t>
  </si>
  <si>
    <t xml:space="preserve">Not itemized in Pipeline multi-phase list; verify unit count</t>
  </si>
  <si>
    <t xml:space="preserve">https://sfplanning.org/project/freedom-west-homes-project</t>
  </si>
  <si>
    <t xml:space="preserve">F-35</t>
  </si>
  <si>
    <t xml:space="preserve">101 Hyde St</t>
  </si>
  <si>
    <t xml:space="preserve">Jan 2035</t>
  </si>
  <si>
    <t xml:space="preserve">F-36</t>
  </si>
  <si>
    <t xml:space="preserve">685 Ellis St (rehab)</t>
  </si>
  <si>
    <t xml:space="preserve">685 Ellis St</t>
  </si>
  <si>
    <t xml:space="preserve">MOHCD Predevelopment Feasibility (rehab)</t>
  </si>
  <si>
    <t xml:space="preserve">77 @ 50% AMI</t>
  </si>
  <si>
    <t xml:space="preserve">F-37</t>
  </si>
  <si>
    <t xml:space="preserve">Ocean Beach Apartments (720-740 La Playa, rehab)</t>
  </si>
  <si>
    <t xml:space="preserve">720 La Playa St</t>
  </si>
  <si>
    <t xml:space="preserve">Alliant Communities</t>
  </si>
  <si>
    <t xml:space="preserve">SFHDC</t>
  </si>
  <si>
    <t xml:space="preserve">F-38</t>
  </si>
  <si>
    <t xml:space="preserve">Golden Gate Apartments (1820 Post St, rehab)</t>
  </si>
  <si>
    <t xml:space="preserve">1820 Post St</t>
  </si>
  <si>
    <t xml:space="preserve">MOHCD Preliminary Phase (rehab)</t>
  </si>
  <si>
    <t xml:space="preserve">41 @ 50%; 10 @ 55%; 20 @ 60% AMI</t>
  </si>
  <si>
    <t xml:space="preserve">Mar 2028</t>
  </si>
  <si>
    <t xml:space="preserve">F-39</t>
  </si>
  <si>
    <t xml:space="preserve">125 Mason St (rehab, off-site BMR)</t>
  </si>
  <si>
    <t xml:space="preserve">125 Mason St</t>
  </si>
  <si>
    <t xml:space="preserve">28 @ 50%; 45 @ 55%; 7 undeclared</t>
  </si>
  <si>
    <t xml:space="preserve">F-40</t>
  </si>
  <si>
    <t xml:space="preserve">2901 16th St (Big Sites rehab)</t>
  </si>
  <si>
    <t xml:space="preserve">2901 16th St</t>
  </si>
  <si>
    <t xml:space="preserve">61 @ 100% AMI</t>
  </si>
  <si>
    <t xml:space="preserve">Jul 2027</t>
  </si>
  <si>
    <t xml:space="preserve">F-41</t>
  </si>
  <si>
    <t xml:space="preserve">101 Gough St (Supportive Living Preservation)</t>
  </si>
  <si>
    <t xml:space="preserve">101 Gough St</t>
  </si>
  <si>
    <t xml:space="preserve">Safehouse</t>
  </si>
  <si>
    <t xml:space="preserve">F-42</t>
  </si>
  <si>
    <t xml:space="preserve">3235-3237 16th St (Small Sites)</t>
  </si>
  <si>
    <t xml:space="preserve">3235 16th St</t>
  </si>
  <si>
    <t xml:space="preserve">Rehab (Small Sites)</t>
  </si>
  <si>
    <t xml:space="preserve">5 @ 80% AMI</t>
  </si>
  <si>
    <t xml:space="preserve">San Francisco Community Land Trust</t>
  </si>
  <si>
    <t xml:space="preserve">F-43</t>
  </si>
  <si>
    <t xml:space="preserve">Sequoia Living senior (3485 Cesar Chavez St)</t>
  </si>
  <si>
    <t xml:space="preserve">3485 Cesar Chavez St</t>
  </si>
  <si>
    <t xml:space="preserve">Planned; construction start 2026 (per Mercy/SF.gov)</t>
  </si>
  <si>
    <t xml:space="preserve">Sequoia Living</t>
  </si>
  <si>
    <t xml:space="preserve">Adjacent to 1633 Valencia; 7-story</t>
  </si>
  <si>
    <t xml:space="preserve">MP-01</t>
  </si>
  <si>
    <t xml:space="preserve">Candlestick Point / Hunters Point Shipyard (remaining phases)</t>
  </si>
  <si>
    <t xml:space="preserve">(multi-site)</t>
  </si>
  <si>
    <t xml:space="preserve">Major Multi-Phased Project - entitled, remaining phases (Pipeline Report 2026 Q2)</t>
  </si>
  <si>
    <t xml:space="preserve">Remaining un-permitted phases only; phases with permits are counted in the stage buckets. Total multi-phase = 37,577 units (50% of pipeline).</t>
  </si>
  <si>
    <t xml:space="preserve">https://sfplanning.org/project/pipeline-report</t>
  </si>
  <si>
    <t xml:space="preserve">MP-02</t>
  </si>
  <si>
    <t xml:space="preserve">Treasure Island (remaining phases)</t>
  </si>
  <si>
    <t xml:space="preserve">MP-03</t>
  </si>
  <si>
    <t xml:space="preserve">Parkmerced (remaining phases)</t>
  </si>
  <si>
    <t xml:space="preserve">MP-04</t>
  </si>
  <si>
    <t xml:space="preserve">Flower Mart (Central SoMa) (remaining phases)</t>
  </si>
  <si>
    <t xml:space="preserve">MP-05</t>
  </si>
  <si>
    <t xml:space="preserve">Stonestown (remaining phases)</t>
  </si>
  <si>
    <t xml:space="preserve">MP-06</t>
  </si>
  <si>
    <t xml:space="preserve">HopeSF (Potrero + Sunnydale) (remaining phases)</t>
  </si>
  <si>
    <t xml:space="preserve">MP-07</t>
  </si>
  <si>
    <t xml:space="preserve">Potrero Power Plant / Power Station (remaining phases)</t>
  </si>
  <si>
    <t xml:space="preserve">MP-08</t>
  </si>
  <si>
    <t xml:space="preserve">Pier 70 (remaining phases)</t>
  </si>
  <si>
    <t xml:space="preserve">MP-09</t>
  </si>
  <si>
    <t xml:space="preserve">India Basin (remaining phases)</t>
  </si>
  <si>
    <t xml:space="preserve">MP-10</t>
  </si>
  <si>
    <t xml:space="preserve">Mission Rock (remaining phases)</t>
  </si>
  <si>
    <t xml:space="preserve">MP-11</t>
  </si>
  <si>
    <t xml:space="preserve">Schlage Lock (remaining phases)</t>
  </si>
  <si>
    <t xml:space="preserve">MP-12</t>
  </si>
  <si>
    <t xml:space="preserve">3333 California (Laurel Heights) (remaining phases)</t>
  </si>
  <si>
    <t xml:space="preserve">MP-13</t>
  </si>
  <si>
    <t xml:space="preserve">Balboa Reservoir (remaining phases)</t>
  </si>
  <si>
    <t xml:space="preserve">MP-14</t>
  </si>
  <si>
    <t xml:space="preserve">5M (remaining phases)</t>
  </si>
  <si>
    <t xml:space="preserve">Sources</t>
  </si>
  <si>
    <t xml:space="preserve">ID</t>
  </si>
  <si>
    <t xml:space="preserve">Publisher</t>
  </si>
  <si>
    <t xml:space="preserve">URL</t>
  </si>
  <si>
    <t xml:space="preserve">Retrieved</t>
  </si>
  <si>
    <t xml:space="preserve">Covers</t>
  </si>
  <si>
    <t xml:space="preserve">Refresh cadence</t>
  </si>
  <si>
    <t xml:space="preserve">S1</t>
  </si>
  <si>
    <t xml:space="preserve">2025 San Francisco Housing Inventory (56th ed.)</t>
  </si>
  <si>
    <t xml:space="preserve">SF Planning</t>
  </si>
  <si>
    <t xml:space="preserve">2026-09-09</t>
  </si>
  <si>
    <t xml:space="preserve">Stock, trends, 2025 completions/approvals/authorizations, affordability</t>
  </si>
  <si>
    <t xml:space="preserve">Annual, ~April 1</t>
  </si>
  <si>
    <t xml:space="preserve">S2</t>
  </si>
  <si>
    <t xml:space="preserve">2024 San Francisco Housing Inventory</t>
  </si>
  <si>
    <t xml:space="preserve">2024 completions &amp; approvals</t>
  </si>
  <si>
    <t xml:space="preserve">Superseded annually</t>
  </si>
  <si>
    <t xml:space="preserve">S3</t>
  </si>
  <si>
    <t xml:space="preserve">2023 San Francisco Housing Inventory</t>
  </si>
  <si>
    <t xml:space="preserve">2023 completions, approvals, authorizations</t>
  </si>
  <si>
    <t xml:space="preserve">S4</t>
  </si>
  <si>
    <t xml:space="preserve">Housing Inventory landing page</t>
  </si>
  <si>
    <t xml:space="preserve">https://sfplanning.org/project/housing-inventory</t>
  </si>
  <si>
    <t xml:space="preserve">Latest report link</t>
  </si>
  <si>
    <t xml:space="preserve">Annual</t>
  </si>
  <si>
    <t xml:space="preserve">S5</t>
  </si>
  <si>
    <t xml:space="preserve">Pipeline Report 2026 Q2 (page + PDF)</t>
  </si>
  <si>
    <t xml:space="preserve">Stage totals, affordable units, multi-phase list</t>
  </si>
  <si>
    <t xml:space="preserve">Quarterly (~2 months after quarter end)</t>
  </si>
  <si>
    <t xml:space="preserve">S6</t>
  </si>
  <si>
    <t xml:space="preserve">San Francisco Development Pipeline (dataset 6jgi-cpb4, 2026 Q2)</t>
  </si>
  <si>
    <t xml:space="preserve">DataSF</t>
  </si>
  <si>
    <t xml:space="preserve">https://data.sf.gov/d/6jgi-cpb4</t>
  </si>
  <si>
    <t xml:space="preserve">Row-level pipeline incl. sponsor, contact, BMR by AMI, neighborhood, SD; CSV export: https://data.sf.gov/api/v3/views/6jgi-cpb4/export.csv?accessType=DOWNLOAD</t>
  </si>
  <si>
    <t xml:space="preserve">Quarterly</t>
  </si>
  <si>
    <t xml:space="preserve">S7</t>
  </si>
  <si>
    <t xml:space="preserve">MOHCD/OCII Affordable Housing Pipeline (dataset aaxw-2cb8)</t>
  </si>
  <si>
    <t xml:space="preserve">DataSF / MOHCD</t>
  </si>
  <si>
    <t xml:space="preserve">Affordable + inclusionary projects: sponsor, status, AMI mix, schedule; CSV: https://data.sfgov.org/api/views/aaxw-2cb8/rows.csv?accessType=DOWNLOAD</t>
  </si>
  <si>
    <t xml:space="preserve">Periodic (last modified 2026-02-05)</t>
  </si>
  <si>
    <t xml:space="preserve">S8</t>
  </si>
  <si>
    <t xml:space="preserve">San Francisco Housing Dashboard</t>
  </si>
  <si>
    <t xml:space="preserve">https://sfplanning.org/san-francisco-housing-dashboard</t>
  </si>
  <si>
    <t xml:space="preserve">Completed units since 2005; active pipeline by geography/affordability</t>
  </si>
  <si>
    <t xml:space="preserve">Continuous</t>
  </si>
  <si>
    <t xml:space="preserve">S9</t>
  </si>
  <si>
    <t xml:space="preserve">Dwelling Unit Completion Counts by Building Permit (j67f-aayr)</t>
  </si>
  <si>
    <t xml:space="preserve">https://data.sfgov.org/Housing-and-Buildings/Dwelling-Unit-Completion-Counts-by-Building-Permit/j67f-aayr</t>
  </si>
  <si>
    <t xml:space="preserve">Monthly completions (use for 2026 YTD)</t>
  </si>
  <si>
    <t xml:space="preserve">Monthly</t>
  </si>
  <si>
    <t xml:space="preserve">S10</t>
  </si>
  <si>
    <t xml:space="preserve">'SF Has Built Only 400 Homes This Year...'</t>
  </si>
  <si>
    <t xml:space="preserve">The Frisc (A. Brinklow)</t>
  </si>
  <si>
    <t xml:space="preserve">https://thefrisc.com/sf-has-built-only-400-homes-this-year-tens-of-thousands-more-are-waiting/</t>
  </si>
  <si>
    <t xml:space="preserve">2026 H1 completions (405), UC trend, MOHCD 2,000 affordable UC</t>
  </si>
  <si>
    <t xml:space="preserve">n/a</t>
  </si>
  <si>
    <t xml:space="preserve">S11</t>
  </si>
  <si>
    <t xml:space="preserve">'More homes are entering S.F.'s pipeline...'</t>
  </si>
  <si>
    <t xml:space="preserve">SF Chronicle</t>
  </si>
  <si>
    <t xml:space="preserve">https://www.sfchronicle.com/realestate/article/sf-homes-built-22208676.php</t>
  </si>
  <si>
    <t xml:space="preserve">2025 filings context (88 Bluxome, Marina Safeway, 10 SVN)</t>
  </si>
  <si>
    <t xml:space="preserve">S12</t>
  </si>
  <si>
    <t xml:space="preserve">Comprehensive Housing Market Analysis, SF-Redwood City-SSF (2024)</t>
  </si>
  <si>
    <t xml:space="preserve">HUD PD&amp;R</t>
  </si>
  <si>
    <t xml:space="preserve">https://www.huduser.gov/portal/publications/pdf/CMARtables_SanFranciscoRedwoodCitySouthSanFranciscoCA_24.pdf</t>
  </si>
  <si>
    <t xml:space="preserve">Inventory, tenure, vacancy (SF submarket)</t>
  </si>
  <si>
    <t xml:space="preserve">Irregular</t>
  </si>
  <si>
    <t xml:space="preserve">S13</t>
  </si>
  <si>
    <t xml:space="preserve">ACS 5-year profile, San Francisco County</t>
  </si>
  <si>
    <t xml:space="preserve">Census via Social Explorer / NeighborhoodScout / Census Reporter</t>
  </si>
  <si>
    <t xml:space="preserve">https://censusreporter.org/profiles/16000US0667000-san-francisco-ca</t>
  </si>
  <si>
    <t xml:space="preserve">Tenure, vacancy, year built (refresh from data.census.gov DP04)</t>
  </si>
  <si>
    <t xml:space="preserve">Annual (Sept/Dec)</t>
  </si>
  <si>
    <t xml:space="preserve">S14</t>
  </si>
  <si>
    <t xml:space="preserve">CTCAC/CDLAC staff reports (Transbay 2W/2E, 1515 SVN, Balboa E)</t>
  </si>
  <si>
    <t xml:space="preserve">CA State Treasurer</t>
  </si>
  <si>
    <t xml:space="preserve">https://www.treasurer.ca.gov/ctcac/</t>
  </si>
  <si>
    <t xml:space="preserve">LIHTC allocations, bond cap, investors, lenders</t>
  </si>
  <si>
    <t xml:space="preserve">Per meeting</t>
  </si>
  <si>
    <t xml:space="preserve">S15</t>
  </si>
  <si>
    <t xml:space="preserve">Citywide Affordable Housing Loan Committee agendas/evaluations</t>
  </si>
  <si>
    <t xml:space="preserve">SF MOHCD</t>
  </si>
  <si>
    <t xml:space="preserve">https://www.sf.gov/departments--mayors-office-housing-and-community-development</t>
  </si>
  <si>
    <t xml:space="preserve">City gap loans, LOSP, TDC (e.g., 1633 Valencia, Balboa A, 850 Turk)</t>
  </si>
  <si>
    <t xml:space="preserve">S16</t>
  </si>
  <si>
    <t xml:space="preserve">CalHFA Mixed-Income Program staff report — Sutter Street</t>
  </si>
  <si>
    <t xml:space="preserve">CalHFA</t>
  </si>
  <si>
    <t xml:space="preserve">1101 Sutter financing</t>
  </si>
  <si>
    <t xml:space="preserve">S17</t>
  </si>
  <si>
    <t xml:space="preserve">SF YIMBY project coverage (300 De Haro, 88 Bluxome, TB2, Balboa, 1633 Valencia, 1101 Sutter)</t>
  </si>
  <si>
    <t xml:space="preserve">SF YIMBY</t>
  </si>
  <si>
    <t xml:space="preserve">https://sfyimby.com</t>
  </si>
  <si>
    <t xml:space="preserve">Architect, GC, cost estimates</t>
  </si>
  <si>
    <t xml:space="preserve">S18</t>
  </si>
  <si>
    <t xml:space="preserve">SF.gov press releases (730 Stanyan, 1515 SVN, 1633 Valencia, TB2)</t>
  </si>
  <si>
    <t xml:space="preserve">City &amp; County of SF</t>
  </si>
  <si>
    <t xml:space="preserve">https://www.sf.gov/news</t>
  </si>
  <si>
    <t xml:space="preserve">TDC, lenders, partners</t>
  </si>
  <si>
    <t xml:space="preserve">S19</t>
  </si>
  <si>
    <t xml:space="preserve">CoStar — Quincy (555 Bryant) Impact Award</t>
  </si>
  <si>
    <t xml:space="preserve">CoStar</t>
  </si>
  <si>
    <t xml:space="preserve">Quincy developer/lease-up</t>
  </si>
  <si>
    <t xml:space="preserve">S20</t>
  </si>
  <si>
    <t xml:space="preserve">SF Chronicle — DM Development 300 De Haro</t>
  </si>
  <si>
    <t xml:space="preserve">300 De Haro cost/financing</t>
  </si>
  <si>
    <t xml:space="preserve">S21</t>
  </si>
  <si>
    <t xml:space="preserve">Chinatown CDC — In Development (730 Stanyan)</t>
  </si>
  <si>
    <t xml:space="preserve">CCDC</t>
  </si>
  <si>
    <t xml:space="preserve">GC, architect, TDC</t>
  </si>
  <si>
    <t xml:space="preserve">How to update this workbook</t>
  </si>
  <si>
    <t xml:space="preserve">Step</t>
  </si>
  <si>
    <t xml:space="preserve">What</t>
  </si>
  <si>
    <t xml:space="preserve">Where</t>
  </si>
  <si>
    <t xml:space="preserve">How</t>
  </si>
  <si>
    <t xml:space="preserve">Cadence</t>
  </si>
  <si>
    <t xml:space="preserve">Refresh citywide stock, trend, affordable tables (Stock A, Trend)</t>
  </si>
  <si>
    <t xml:space="preserve">Housing Inventory (S1/S4)</t>
  </si>
  <si>
    <t xml:space="preserve">Download the new PDF each April. Copy Tables 1, 2, 3, 4, 13, 23, 24, 27, 28 into the Stock/Trend tabs. Note: prior years get restated; overwrite the whole series from the newest report.</t>
  </si>
  <si>
    <t xml:space="preserve">Annual (April)</t>
  </si>
  <si>
    <t xml:space="preserve">Add completed projects for the new year</t>
  </si>
  <si>
    <t xml:space="preserve">Housing Inventory Appendix A-1 (market-rate ≥10 units) and A-2 (affordable ≥20 units)</t>
  </si>
  <si>
    <t xml:space="preserve">Add one Projects row per project with Status = Complete, Year Completed = report year, Source URL = the PDF. Merge with existing rows if the project was already tracked (change status, add milestone to Notes).</t>
  </si>
  <si>
    <t xml:space="preserve">Refresh pipeline stage totals and multi-phase list (Pipeline_Q2_2026 tab; rename tab)</t>
  </si>
  <si>
    <t xml:space="preserve">Pipeline Report page (S5)</t>
  </si>
  <si>
    <t xml:space="preserve">Copy the summary breakdown and the 14-project list from the quarterly page/PDF. Update Summary section A rows 14–23.</t>
  </si>
  <si>
    <t xml:space="preserve">Pull row-level pipeline for status changes and small projects</t>
  </si>
  <si>
    <t xml:space="preserve">DataSF 6jgi-cpb4 CSV (S6)</t>
  </si>
  <si>
    <t xml:space="preserve">Download CSV; filter 'net pipeline units' &gt; 0; columns: NAMEADDR, current status, net pipeline units, pipeline affordable units, bmr units by AMI, SPONSOR, NHOOD41, SD22. Map 'current status' → normalized: Construction→Under Construction; BP BP Issued→Permitted; BP Approved/BP Filed/PL Approved→Approved; PL Filed→Under Review. Append rows not already in Projects (match on address).</t>
  </si>
  <si>
    <t xml:space="preserve">Refresh affordable project detail (sponsor, AMI mix, schedule)</t>
  </si>
  <si>
    <t xml:space="preserve">MOHCD Affordable Housing Pipeline CSV (S7)</t>
  </si>
  <si>
    <t xml:space="preserve">Download CSV; key on Project ID. Update Status (raw), construction status (0–5), est. completion, AMI columns → rewrite 'Affordability mix' cell as 'n @ x% AMI; ...'.</t>
  </si>
  <si>
    <t xml:space="preserve">When modified (check 'Last Updated' on dataset page)</t>
  </si>
  <si>
    <t xml:space="preserve">2026 YTD completions</t>
  </si>
  <si>
    <t xml:space="preserve">Housing Dashboard (S8) or DataSF j67f-aayr (S9)</t>
  </si>
  <si>
    <t xml:space="preserve">Sum completed units for the current year; list projects ≥10 units; set Year Completed = 2026.</t>
  </si>
  <si>
    <t xml:space="preserve">Capital stack for large projects</t>
  </si>
  <si>
    <t xml:space="preserve">CTCAC/CDLAC staff reports (S14), MOHCD Loan Committee (S15), CalHFA (S16), SF YIMBY / Chronicle / Business Times (S17)</t>
  </si>
  <si>
    <t xml:space="preserve">Search '&lt;address&gt; CTCAC staff report' for LIHTC/bond/investor; '&lt;address&gt; loan committee' for city loans and TDC; '&lt;address&gt; sfyimby' for GC/architect. Fill Total Project Cost, Equity Partners, Equity $, Lenders, Loan $. Leave blank if not found.</t>
  </si>
  <si>
    <t xml:space="preserve">Per project, as milestones occur</t>
  </si>
  <si>
    <t xml:space="preserve">Tenure, vacancy, age of stock (Stock B)</t>
  </si>
  <si>
    <t xml:space="preserve">data.census.gov table DP04, ACS 1-year, San Francisco County</t>
  </si>
  <si>
    <t xml:space="preserve">Replace values; keep the HUD CMAR row until a newer CMAR is issued.</t>
  </si>
  <si>
    <t xml:space="preserve">Annual (Sept)</t>
  </si>
  <si>
    <t xml:space="preserve">Check Summary formulas</t>
  </si>
  <si>
    <t xml:space="preserve">Summary tab</t>
  </si>
  <si>
    <t xml:space="preserve">Formulas are whole-column COUNTIFS/SUMIFS on Projects — no range edits needed when adding rows. Keep normalized status spellings exactly as listed in README.</t>
  </si>
  <si>
    <t xml:space="preserve">After every edit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</si>
</sst>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%"/>
    <numFmt numFmtId="168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sfplanning.org/sites/default/files/resources/2024-04/2023_Housing_Inventory.pdf" TargetMode="External"/><Relationship Id="rId2" Type="http://schemas.openxmlformats.org/officeDocument/2006/relationships/hyperlink" Target="https://sfplanning.org/sites/default/files/resources/2024-04/2023_Housing_Inventory.pdf" TargetMode="External"/><Relationship Id="rId3" Type="http://schemas.openxmlformats.org/officeDocument/2006/relationships/hyperlink" Target="https://sfplanning.org/sites/default/files/resources/2024-04/2023_Housing_Inventory.pdf" TargetMode="External"/><Relationship Id="rId4" Type="http://schemas.openxmlformats.org/officeDocument/2006/relationships/hyperlink" Target="https://sfplanning.org/sites/default/files/resources/2024-04/2023_Housing_Inventory.pdf" TargetMode="External"/><Relationship Id="rId5" Type="http://schemas.openxmlformats.org/officeDocument/2006/relationships/hyperlink" Target="https://sfplanning.org/sites/default/files/resources/2024-04/2023_Housing_Inventory.pdf" TargetMode="External"/><Relationship Id="rId6" Type="http://schemas.openxmlformats.org/officeDocument/2006/relationships/hyperlink" Target="https://sfplanning.org/sites/default/files/resources/2024-04/2023_Housing_Inventory.pdf" TargetMode="External"/><Relationship Id="rId7" Type="http://schemas.openxmlformats.org/officeDocument/2006/relationships/hyperlink" Target="https://sfplanning.org/sites/default/files/resources/2024-04/2023_Housing_Inventory.pdf" TargetMode="External"/><Relationship Id="rId8" Type="http://schemas.openxmlformats.org/officeDocument/2006/relationships/hyperlink" Target="https://sfplanning.org/sites/default/files/resources/2024-04/2023_Housing_Inventory.pdf" TargetMode="External"/><Relationship Id="rId9" Type="http://schemas.openxmlformats.org/officeDocument/2006/relationships/hyperlink" Target="https://sfplanning.org/sites/default/files/resources/2024-04/2023_Housing_Inventory.pdf" TargetMode="External"/><Relationship Id="rId10" Type="http://schemas.openxmlformats.org/officeDocument/2006/relationships/hyperlink" Target="https://sfplanning.org/sites/default/files/resources/2024-04/2023_Housing_Inventory.pdf" TargetMode="External"/><Relationship Id="rId11" Type="http://schemas.openxmlformats.org/officeDocument/2006/relationships/hyperlink" Target="https://sfplanning.org/sites/default/files/resources/2024-04/2023_Housing_Inventory.pdf" TargetMode="External"/><Relationship Id="rId12" Type="http://schemas.openxmlformats.org/officeDocument/2006/relationships/hyperlink" Target="https://sfplanning.org/sites/default/files/resources/2024-04/2023_Housing_Inventory.pdf" TargetMode="External"/><Relationship Id="rId13" Type="http://schemas.openxmlformats.org/officeDocument/2006/relationships/hyperlink" Target="https://sfplanning.org/sites/default/files/resources/2024-04/2023_Housing_Inventory.pdf" TargetMode="External"/><Relationship Id="rId14" Type="http://schemas.openxmlformats.org/officeDocument/2006/relationships/hyperlink" Target="https://sfplanning.org/sites/default/files/resources/2024-04/2023_Housing_Inventory.pdf" TargetMode="External"/><Relationship Id="rId15" Type="http://schemas.openxmlformats.org/officeDocument/2006/relationships/hyperlink" Target="https://sfplanning.org/sites/default/files/resources/2024-04/2023_Housing_Inventory.pdf" TargetMode="External"/><Relationship Id="rId16" Type="http://schemas.openxmlformats.org/officeDocument/2006/relationships/hyperlink" Target="https://sfplanning.org/sites/default/files/resources/2025-04/2024_Housing%20Inventory.pdf" TargetMode="External"/><Relationship Id="rId17" Type="http://schemas.openxmlformats.org/officeDocument/2006/relationships/hyperlink" Target="https://sfplanning.org/sites/default/files/resources/2025-04/2024_Housing%20Inventory.pdf" TargetMode="External"/><Relationship Id="rId18" Type="http://schemas.openxmlformats.org/officeDocument/2006/relationships/hyperlink" Target="https://sfplanning.org/sites/default/files/resources/2025-04/2024_Housing%20Inventory.pdf" TargetMode="External"/><Relationship Id="rId19" Type="http://schemas.openxmlformats.org/officeDocument/2006/relationships/hyperlink" Target="https://sfplanning.org/sites/default/files/resources/2025-04/2024_Housing%20Inventory.pdf" TargetMode="External"/><Relationship Id="rId20" Type="http://schemas.openxmlformats.org/officeDocument/2006/relationships/hyperlink" Target="https://sfplanning.org/sites/default/files/resources/2025-04/2024_Housing%20Inventory.pdf" TargetMode="External"/><Relationship Id="rId21" Type="http://schemas.openxmlformats.org/officeDocument/2006/relationships/hyperlink" Target="https://sfplanning.org/sites/default/files/resources/2025-04/2024_Housing%20Inventory.pdf" TargetMode="External"/><Relationship Id="rId22" Type="http://schemas.openxmlformats.org/officeDocument/2006/relationships/hyperlink" Target="https://sfplanning.org/sites/default/files/resources/2025-04/2024_Housing%20Inventory.pdf" TargetMode="External"/><Relationship Id="rId23" Type="http://schemas.openxmlformats.org/officeDocument/2006/relationships/hyperlink" Target="https://sfplanning.org/sites/default/files/resources/2025-04/2024_Housing%20Inventory.pdf" TargetMode="External"/><Relationship Id="rId24" Type="http://schemas.openxmlformats.org/officeDocument/2006/relationships/hyperlink" Target="https://www.costar.com/article/147377327" TargetMode="External"/><Relationship Id="rId25" Type="http://schemas.openxmlformats.org/officeDocument/2006/relationships/hyperlink" Target="https://sfplanning.org/sites/default/files/resources/2026-04/2025_Housing_Inventory.pdf" TargetMode="External"/><Relationship Id="rId26" Type="http://schemas.openxmlformats.org/officeDocument/2006/relationships/hyperlink" Target="https://sfplanning.org/sites/default/files/resources/2026-04/2025_Housing_Inventory.pdf" TargetMode="External"/><Relationship Id="rId27" Type="http://schemas.openxmlformats.org/officeDocument/2006/relationships/hyperlink" Target="https://sfplanning.org/sites/default/files/resources/2026-04/2025_Housing_Inventory.pdf" TargetMode="External"/><Relationship Id="rId28" Type="http://schemas.openxmlformats.org/officeDocument/2006/relationships/hyperlink" Target="https://sfplanning.org/sites/default/files/resources/2026-04/2025_Housing_Inventory.pdf" TargetMode="External"/><Relationship Id="rId29" Type="http://schemas.openxmlformats.org/officeDocument/2006/relationships/hyperlink" Target="https://sfplanning.org/sites/default/files/resources/2026-04/2025_Housing_Inventory.pdf" TargetMode="External"/><Relationship Id="rId30" Type="http://schemas.openxmlformats.org/officeDocument/2006/relationships/hyperlink" Target="https://sfplanning.org/sites/default/files/resources/2026-04/2025_Housing_Inventory.pdf" TargetMode="External"/><Relationship Id="rId31" Type="http://schemas.openxmlformats.org/officeDocument/2006/relationships/hyperlink" Target="https://sfplanning.org/sites/default/files/resources/2026-04/2025_Housing_Inventory.pdf" TargetMode="External"/><Relationship Id="rId32" Type="http://schemas.openxmlformats.org/officeDocument/2006/relationships/hyperlink" Target="https://sfplanning.org/sites/default/files/resources/2026-04/2025_Housing_Inventory.pdf" TargetMode="External"/><Relationship Id="rId33" Type="http://schemas.openxmlformats.org/officeDocument/2006/relationships/hyperlink" Target="https://www.chinatowncdc.org/our-housing/in-development" TargetMode="External"/><Relationship Id="rId34" Type="http://schemas.openxmlformats.org/officeDocument/2006/relationships/hyperlink" Target="https://sfplanning.org/sites/default/files/resources/2026-04/2025_Housing_Inventory.pdf" TargetMode="External"/><Relationship Id="rId35" Type="http://schemas.openxmlformats.org/officeDocument/2006/relationships/hyperlink" Target="https://www.treasurer.ca.gov/ctcac/meeting/2023/0823/staff/CA-23-567.pdf" TargetMode="External"/><Relationship Id="rId36" Type="http://schemas.openxmlformats.org/officeDocument/2006/relationships/hyperlink" Target="https://www.sf.gov/news/mayor-london-breed-celebrates-groundbreaking-new-senior-housing-development-mission" TargetMode="External"/><Relationship Id="rId37" Type="http://schemas.openxmlformats.org/officeDocument/2006/relationships/hyperlink" Target="https://sfplanning.org/sites/default/files/resources/2026-04/2025_Housing_Inventory.pdf" TargetMode="External"/><Relationship Id="rId38" Type="http://schemas.openxmlformats.org/officeDocument/2006/relationships/hyperlink" Target="https://sfplanning.org/sites/default/files/resources/2026-04/2025_Housing_Inventory.pdf" TargetMode="External"/><Relationship Id="rId39" Type="http://schemas.openxmlformats.org/officeDocument/2006/relationships/hyperlink" Target="https://sfplanning.org/sites/default/files/resources/2026-04/2025_Housing_Inventory.pdf" TargetMode="External"/><Relationship Id="rId40" Type="http://schemas.openxmlformats.org/officeDocument/2006/relationships/hyperlink" Target="https://sfplanning.org/sites/default/files/resources/2026-04/2025_Housing_Inventory.pdf" TargetMode="External"/><Relationship Id="rId41" Type="http://schemas.openxmlformats.org/officeDocument/2006/relationships/hyperlink" Target="https://sfplanning.org/sites/default/files/resources/2026-04/2025_Housing_Inventory.pdf" TargetMode="External"/><Relationship Id="rId42" Type="http://schemas.openxmlformats.org/officeDocument/2006/relationships/hyperlink" Target="https://sfplanning.org/sites/default/files/resources/2026-04/2025_Housing_Inventory.pdf" TargetMode="External"/><Relationship Id="rId43" Type="http://schemas.openxmlformats.org/officeDocument/2006/relationships/hyperlink" Target="https://data.sfgov.org/Housing-and-Buildings/Affordable-Housing-Pipeline/aaxw-2cb8" TargetMode="External"/><Relationship Id="rId44" Type="http://schemas.openxmlformats.org/officeDocument/2006/relationships/hyperlink" Target="https://sfplanning.org/sites/default/files/resources/2026-04/2025_Housing_Inventory.pdf" TargetMode="External"/><Relationship Id="rId45" Type="http://schemas.openxmlformats.org/officeDocument/2006/relationships/hyperlink" Target="https://sfyimby.com/2024/04/sf-supervisors-vote-today-on-115m-loan-for-transbay-block-2-east.html" TargetMode="External"/><Relationship Id="rId46" Type="http://schemas.openxmlformats.org/officeDocument/2006/relationships/hyperlink" Target="https://data.sfgov.org/Housing-and-Buildings/Affordable-Housing-Pipeline/aaxw-2cb8" TargetMode="External"/><Relationship Id="rId47" Type="http://schemas.openxmlformats.org/officeDocument/2006/relationships/hyperlink" Target="https://www.sfchronicle.com/realestate/article/sf-housing-affordable-apartments-20816373.php" TargetMode="External"/><Relationship Id="rId48" Type="http://schemas.openxmlformats.org/officeDocument/2006/relationships/hyperlink" Target="https://www.calhfa.ca.gov/multifamily/mixedincome/approved/20250623-Sutter-Street.pdf" TargetMode="External"/><Relationship Id="rId49" Type="http://schemas.openxmlformats.org/officeDocument/2006/relationships/hyperlink" Target="https://www.treasurer.ca.gov/ctcac/meeting/2024/0806/staff/CA-24-535.pdf" TargetMode="External"/><Relationship Id="rId50" Type="http://schemas.openxmlformats.org/officeDocument/2006/relationships/hyperlink" Target="https://data.sfgov.org/Housing-and-Buildings/Affordable-Housing-Pipeline/aaxw-2cb8" TargetMode="External"/><Relationship Id="rId51" Type="http://schemas.openxmlformats.org/officeDocument/2006/relationships/hyperlink" Target="https://data.sfgov.org/Housing-and-Buildings/Affordable-Housing-Pipeline/aaxw-2cb8" TargetMode="External"/><Relationship Id="rId52" Type="http://schemas.openxmlformats.org/officeDocument/2006/relationships/hyperlink" Target="https://data.sfgov.org/Housing-and-Buildings/Affordable-Housing-Pipeline/aaxw-2cb8" TargetMode="External"/><Relationship Id="rId53" Type="http://schemas.openxmlformats.org/officeDocument/2006/relationships/hyperlink" Target="https://www.treasurer.ca.gov/ctcac/meeting/2024/1211/staff/CA-24-670.pdf" TargetMode="External"/><Relationship Id="rId54" Type="http://schemas.openxmlformats.org/officeDocument/2006/relationships/hyperlink" Target="https://sf.gov/meeting--february-21-2025--citywide-affordable-housing-loan-committee-meeting" TargetMode="External"/><Relationship Id="rId55" Type="http://schemas.openxmlformats.org/officeDocument/2006/relationships/hyperlink" Target="https://data.sfgov.org/Housing-and-Buildings/Affordable-Housing-Pipeline/aaxw-2cb8" TargetMode="External"/><Relationship Id="rId56" Type="http://schemas.openxmlformats.org/officeDocument/2006/relationships/hyperlink" Target="https://data.sfgov.org/Housing-and-Buildings/Affordable-Housing-Pipeline/aaxw-2cb8" TargetMode="External"/><Relationship Id="rId57" Type="http://schemas.openxmlformats.org/officeDocument/2006/relationships/hyperlink" Target="https://data.sfgov.org/Housing-and-Buildings/Affordable-Housing-Pipeline/aaxw-2cb8" TargetMode="External"/><Relationship Id="rId58" Type="http://schemas.openxmlformats.org/officeDocument/2006/relationships/hyperlink" Target="https://data.sfgov.org/Housing-and-Buildings/Affordable-Housing-Pipeline/aaxw-2cb8" TargetMode="External"/><Relationship Id="rId59" Type="http://schemas.openxmlformats.org/officeDocument/2006/relationships/hyperlink" Target="https://data.sfgov.org/Housing-and-Buildings/Affordable-Housing-Pipeline/aaxw-2cb8" TargetMode="External"/><Relationship Id="rId60" Type="http://schemas.openxmlformats.org/officeDocument/2006/relationships/hyperlink" Target="https://data.sfgov.org/Housing-and-Buildings/Affordable-Housing-Pipeline/aaxw-2cb8" TargetMode="External"/><Relationship Id="rId61" Type="http://schemas.openxmlformats.org/officeDocument/2006/relationships/hyperlink" Target="https://data.sfgov.org/Housing-and-Buildings/Affordable-Housing-Pipeline/aaxw-2cb8" TargetMode="External"/><Relationship Id="rId62" Type="http://schemas.openxmlformats.org/officeDocument/2006/relationships/hyperlink" Target="https://data.sfgov.org/Housing-and-Buildings/Affordable-Housing-Pipeline/aaxw-2cb8" TargetMode="External"/><Relationship Id="rId63" Type="http://schemas.openxmlformats.org/officeDocument/2006/relationships/hyperlink" Target="https://data.sfgov.org/Housing-and-Buildings/Affordable-Housing-Pipeline/aaxw-2cb8" TargetMode="External"/><Relationship Id="rId64" Type="http://schemas.openxmlformats.org/officeDocument/2006/relationships/hyperlink" Target="https://data.sfgov.org/Housing-and-Buildings/Affordable-Housing-Pipeline/aaxw-2cb8" TargetMode="External"/><Relationship Id="rId65" Type="http://schemas.openxmlformats.org/officeDocument/2006/relationships/hyperlink" Target="https://data.sfgov.org/Housing-and-Buildings/Affordable-Housing-Pipeline/aaxw-2cb8" TargetMode="External"/><Relationship Id="rId66" Type="http://schemas.openxmlformats.org/officeDocument/2006/relationships/hyperlink" Target="https://data.sfgov.org/Housing-and-Buildings/Affordable-Housing-Pipeline/aaxw-2cb8" TargetMode="External"/><Relationship Id="rId67" Type="http://schemas.openxmlformats.org/officeDocument/2006/relationships/hyperlink" Target="https://data.sfgov.org/Housing-and-Buildings/Affordable-Housing-Pipeline/aaxw-2cb8" TargetMode="External"/><Relationship Id="rId68" Type="http://schemas.openxmlformats.org/officeDocument/2006/relationships/hyperlink" Target="https://data.sfgov.org/Housing-and-Buildings/Affordable-Housing-Pipeline/aaxw-2cb8" TargetMode="External"/><Relationship Id="rId69" Type="http://schemas.openxmlformats.org/officeDocument/2006/relationships/hyperlink" Target="https://therealdeal.com/san-francisco/2025/06/16/exclusive-sneak-peek-of-first-new-condos-on-treasure-island/" TargetMode="External"/><Relationship Id="rId70" Type="http://schemas.openxmlformats.org/officeDocument/2006/relationships/hyperlink" Target="https://data.sfgov.org/Housing-and-Buildings/Affordable-Housing-Pipeline/aaxw-2cb8" TargetMode="External"/><Relationship Id="rId71" Type="http://schemas.openxmlformats.org/officeDocument/2006/relationships/hyperlink" Target="https://data.sfgov.org/Housing-and-Buildings/Affordable-Housing-Pipeline/aaxw-2cb8" TargetMode="External"/><Relationship Id="rId72" Type="http://schemas.openxmlformats.org/officeDocument/2006/relationships/hyperlink" Target="https://data.sfgov.org/Housing-and-Buildings/Affordable-Housing-Pipeline/aaxw-2cb8" TargetMode="External"/><Relationship Id="rId73" Type="http://schemas.openxmlformats.org/officeDocument/2006/relationships/hyperlink" Target="https://data.sfgov.org/Housing-and-Buildings/Affordable-Housing-Pipeline/aaxw-2cb8" TargetMode="External"/><Relationship Id="rId74" Type="http://schemas.openxmlformats.org/officeDocument/2006/relationships/hyperlink" Target="https://data.sfgov.org/Housing-and-Buildings/Affordable-Housing-Pipeline/aaxw-2cb8" TargetMode="External"/><Relationship Id="rId75" Type="http://schemas.openxmlformats.org/officeDocument/2006/relationships/hyperlink" Target="https://data.sfgov.org/Housing-and-Buildings/Affordable-Housing-Pipeline/aaxw-2cb8" TargetMode="External"/><Relationship Id="rId76" Type="http://schemas.openxmlformats.org/officeDocument/2006/relationships/hyperlink" Target="https://data.sfgov.org/Housing-and-Buildings/Affordable-Housing-Pipeline/aaxw-2cb8" TargetMode="External"/><Relationship Id="rId77" Type="http://schemas.openxmlformats.org/officeDocument/2006/relationships/hyperlink" Target="https://data.sfgov.org/Housing-and-Buildings/Affordable-Housing-Pipeline/aaxw-2cb8" TargetMode="External"/><Relationship Id="rId78" Type="http://schemas.openxmlformats.org/officeDocument/2006/relationships/hyperlink" Target="https://data.sfgov.org/Housing-and-Buildings/Affordable-Housing-Pipeline/aaxw-2cb8" TargetMode="External"/><Relationship Id="rId79" Type="http://schemas.openxmlformats.org/officeDocument/2006/relationships/hyperlink" Target="https://data.sfgov.org/Housing-and-Buildings/Affordable-Housing-Pipeline/aaxw-2cb8" TargetMode="External"/><Relationship Id="rId80" Type="http://schemas.openxmlformats.org/officeDocument/2006/relationships/hyperlink" Target="https://data.sfgov.org/Housing-and-Buildings/Affordable-Housing-Pipeline/aaxw-2cb8" TargetMode="External"/><Relationship Id="rId81" Type="http://schemas.openxmlformats.org/officeDocument/2006/relationships/hyperlink" Target="https://data.sfgov.org/Housing-and-Buildings/Affordable-Housing-Pipeline/aaxw-2cb8" TargetMode="External"/><Relationship Id="rId82" Type="http://schemas.openxmlformats.org/officeDocument/2006/relationships/hyperlink" Target="https://data.sfgov.org/Housing-and-Buildings/Affordable-Housing-Pipeline/aaxw-2cb8" TargetMode="External"/><Relationship Id="rId83" Type="http://schemas.openxmlformats.org/officeDocument/2006/relationships/hyperlink" Target="https://data.sfgov.org/Housing-and-Buildings/Affordable-Housing-Pipeline/aaxw-2cb8" TargetMode="External"/><Relationship Id="rId84" Type="http://schemas.openxmlformats.org/officeDocument/2006/relationships/hyperlink" Target="https://data.sfgov.org/Housing-and-Buildings/Affordable-Housing-Pipeline/aaxw-2cb8" TargetMode="External"/><Relationship Id="rId85" Type="http://schemas.openxmlformats.org/officeDocument/2006/relationships/hyperlink" Target="https://data.sfgov.org/Housing-and-Buildings/Affordable-Housing-Pipeline/aaxw-2cb8" TargetMode="External"/><Relationship Id="rId86" Type="http://schemas.openxmlformats.org/officeDocument/2006/relationships/hyperlink" Target="https://data.sfgov.org/Housing-and-Buildings/Affordable-Housing-Pipeline/aaxw-2cb8" TargetMode="External"/><Relationship Id="rId87" Type="http://schemas.openxmlformats.org/officeDocument/2006/relationships/hyperlink" Target="https://data.sfgov.org/Housing-and-Buildings/Affordable-Housing-Pipeline/aaxw-2cb8" TargetMode="External"/><Relationship Id="rId88" Type="http://schemas.openxmlformats.org/officeDocument/2006/relationships/hyperlink" Target="https://data.sfgov.org/Housing-and-Buildings/Affordable-Housing-Pipeline/aaxw-2cb8" TargetMode="External"/><Relationship Id="rId89" Type="http://schemas.openxmlformats.org/officeDocument/2006/relationships/hyperlink" Target="https://data.sfgov.org/Housing-and-Buildings/Affordable-Housing-Pipeline/aaxw-2cb8" TargetMode="External"/><Relationship Id="rId90" Type="http://schemas.openxmlformats.org/officeDocument/2006/relationships/hyperlink" Target="https://data.sfgov.org/Housing-and-Buildings/Affordable-Housing-Pipeline/aaxw-2cb8" TargetMode="External"/><Relationship Id="rId91" Type="http://schemas.openxmlformats.org/officeDocument/2006/relationships/hyperlink" Target="https://data.sfgov.org/Housing-and-Buildings/Affordable-Housing-Pipeline/aaxw-2cb8" TargetMode="External"/><Relationship Id="rId92" Type="http://schemas.openxmlformats.org/officeDocument/2006/relationships/hyperlink" Target="https://data.sfgov.org/Housing-and-Buildings/Affordable-Housing-Pipeline/aaxw-2cb8" TargetMode="External"/><Relationship Id="rId93" Type="http://schemas.openxmlformats.org/officeDocument/2006/relationships/hyperlink" Target="https://data.sfgov.org/Housing-and-Buildings/Affordable-Housing-Pipeline/aaxw-2cb8" TargetMode="External"/><Relationship Id="rId94" Type="http://schemas.openxmlformats.org/officeDocument/2006/relationships/hyperlink" Target="https://data.sfgov.org/Housing-and-Buildings/Affordable-Housing-Pipeline/aaxw-2cb8" TargetMode="External"/><Relationship Id="rId95" Type="http://schemas.openxmlformats.org/officeDocument/2006/relationships/hyperlink" Target="https://data.sfgov.org/Housing-and-Buildings/Affordable-Housing-Pipeline/aaxw-2cb8" TargetMode="External"/><Relationship Id="rId96" Type="http://schemas.openxmlformats.org/officeDocument/2006/relationships/hyperlink" Target="https://data.sfgov.org/Housing-and-Buildings/Affordable-Housing-Pipeline/aaxw-2cb8" TargetMode="External"/><Relationship Id="rId97" Type="http://schemas.openxmlformats.org/officeDocument/2006/relationships/hyperlink" Target="https://data.sfgov.org/Housing-and-Buildings/Affordable-Housing-Pipeline/aaxw-2cb8" TargetMode="External"/><Relationship Id="rId98" Type="http://schemas.openxmlformats.org/officeDocument/2006/relationships/hyperlink" Target="https://data.sfgov.org/Housing-and-Buildings/Affordable-Housing-Pipeline/aaxw-2cb8" TargetMode="External"/><Relationship Id="rId99" Type="http://schemas.openxmlformats.org/officeDocument/2006/relationships/hyperlink" Target="https://data.sfgov.org/Housing-and-Buildings/Affordable-Housing-Pipeline/aaxw-2cb8" TargetMode="External"/><Relationship Id="rId100" Type="http://schemas.openxmlformats.org/officeDocument/2006/relationships/hyperlink" Target="https://data.sfgov.org/Housing-and-Buildings/Affordable-Housing-Pipeline/aaxw-2cb8" TargetMode="External"/><Relationship Id="rId101" Type="http://schemas.openxmlformats.org/officeDocument/2006/relationships/hyperlink" Target="https://data.sfgov.org/Housing-and-Buildings/Affordable-Housing-Pipeline/aaxw-2cb8" TargetMode="External"/><Relationship Id="rId102" Type="http://schemas.openxmlformats.org/officeDocument/2006/relationships/hyperlink" Target="https://data.sfgov.org/Housing-and-Buildings/Affordable-Housing-Pipeline/aaxw-2cb8" TargetMode="External"/><Relationship Id="rId103" Type="http://schemas.openxmlformats.org/officeDocument/2006/relationships/hyperlink" Target="https://data.sfgov.org/Housing-and-Buildings/Affordable-Housing-Pipeline/aaxw-2cb8" TargetMode="External"/><Relationship Id="rId104" Type="http://schemas.openxmlformats.org/officeDocument/2006/relationships/hyperlink" Target="https://data.sfgov.org/Housing-and-Buildings/Affordable-Housing-Pipeline/aaxw-2cb8" TargetMode="External"/><Relationship Id="rId105" Type="http://schemas.openxmlformats.org/officeDocument/2006/relationships/hyperlink" Target="https://data.sfgov.org/Housing-and-Buildings/Affordable-Housing-Pipeline/aaxw-2cb8" TargetMode="External"/><Relationship Id="rId106" Type="http://schemas.openxmlformats.org/officeDocument/2006/relationships/hyperlink" Target="https://data.sfgov.org/Housing-and-Buildings/Affordable-Housing-Pipeline/aaxw-2cb8" TargetMode="External"/><Relationship Id="rId107" Type="http://schemas.openxmlformats.org/officeDocument/2006/relationships/hyperlink" Target="https://data.sfgov.org/Housing-and-Buildings/Affordable-Housing-Pipeline/aaxw-2cb8" TargetMode="External"/><Relationship Id="rId108" Type="http://schemas.openxmlformats.org/officeDocument/2006/relationships/hyperlink" Target="https://data.sfgov.org/Housing-and-Buildings/Affordable-Housing-Pipeline/aaxw-2cb8" TargetMode="External"/><Relationship Id="rId109" Type="http://schemas.openxmlformats.org/officeDocument/2006/relationships/hyperlink" Target="https://data.sfgov.org/Housing-and-Buildings/Affordable-Housing-Pipeline/aaxw-2cb8" TargetMode="External"/><Relationship Id="rId110" Type="http://schemas.openxmlformats.org/officeDocument/2006/relationships/hyperlink" Target="https://data.sfgov.org/Housing-and-Buildings/Affordable-Housing-Pipeline/aaxw-2cb8" TargetMode="External"/><Relationship Id="rId111" Type="http://schemas.openxmlformats.org/officeDocument/2006/relationships/hyperlink" Target="https://data.sfgov.org/Housing-and-Buildings/Affordable-Housing-Pipeline/aaxw-2cb8" TargetMode="External"/><Relationship Id="rId112" Type="http://schemas.openxmlformats.org/officeDocument/2006/relationships/hyperlink" Target="https://data.sfgov.org/Housing-and-Buildings/Affordable-Housing-Pipeline/aaxw-2cb8" TargetMode="External"/><Relationship Id="rId113" Type="http://schemas.openxmlformats.org/officeDocument/2006/relationships/hyperlink" Target="https://data.sfgov.org/Housing-and-Buildings/Affordable-Housing-Pipeline/aaxw-2cb8" TargetMode="External"/><Relationship Id="rId114" Type="http://schemas.openxmlformats.org/officeDocument/2006/relationships/hyperlink" Target="https://sfyimby.com/?p=44235" TargetMode="External"/><Relationship Id="rId115" Type="http://schemas.openxmlformats.org/officeDocument/2006/relationships/hyperlink" Target="https://sfyimby.com/?p=22568" TargetMode="External"/><Relationship Id="rId116" Type="http://schemas.openxmlformats.org/officeDocument/2006/relationships/hyperlink" Target="https://www.sf.gov/meeting--november-07--2025--citywide-affordable-housing-loan-committee-meeting" TargetMode="External"/><Relationship Id="rId117" Type="http://schemas.openxmlformats.org/officeDocument/2006/relationships/hyperlink" Target="https://sfplanning.org/sites/default/files/resources/2026-04/2025_Housing_Inventory.pdf" TargetMode="External"/><Relationship Id="rId118" Type="http://schemas.openxmlformats.org/officeDocument/2006/relationships/hyperlink" Target="https://sfplanning.org/sites/default/files/resources/2026-04/2025_Housing_Inventory.pdf" TargetMode="External"/><Relationship Id="rId119" Type="http://schemas.openxmlformats.org/officeDocument/2006/relationships/hyperlink" Target="https://data.sfgov.org/Housing-and-Buildings/Affordable-Housing-Pipeline/aaxw-2cb8" TargetMode="External"/><Relationship Id="rId120" Type="http://schemas.openxmlformats.org/officeDocument/2006/relationships/hyperlink" Target="https://data.sfgov.org/Housing-and-Buildings/Affordable-Housing-Pipeline/aaxw-2cb8" TargetMode="External"/><Relationship Id="rId121" Type="http://schemas.openxmlformats.org/officeDocument/2006/relationships/hyperlink" Target="https://sfplanning.org/sites/default/files/resources/2026-04/2025_Housing_Inventory.pdf" TargetMode="External"/><Relationship Id="rId122" Type="http://schemas.openxmlformats.org/officeDocument/2006/relationships/hyperlink" Target="https://sfplanning.org/sites/default/files/resources/2026-04/2025_Housing_Inventory.pdf" TargetMode="External"/><Relationship Id="rId123" Type="http://schemas.openxmlformats.org/officeDocument/2006/relationships/hyperlink" Target="https://data.sfgov.org/Housing-and-Buildings/Affordable-Housing-Pipeline/aaxw-2cb8" TargetMode="External"/><Relationship Id="rId124" Type="http://schemas.openxmlformats.org/officeDocument/2006/relationships/hyperlink" Target="https://sfplanning.org/sites/default/files/resources/2026-04/2025_Housing_Inventory.pdf" TargetMode="External"/><Relationship Id="rId125" Type="http://schemas.openxmlformats.org/officeDocument/2006/relationships/hyperlink" Target="https://sfplanning.org/sites/default/files/resources/2026-04/2025_Housing_Inventory.pdf" TargetMode="External"/><Relationship Id="rId126" Type="http://schemas.openxmlformats.org/officeDocument/2006/relationships/hyperlink" Target="https://sfplanning.org/sites/default/files/resources/2026-04/2025_Housing_Inventory.pdf" TargetMode="External"/><Relationship Id="rId127" Type="http://schemas.openxmlformats.org/officeDocument/2006/relationships/hyperlink" Target="https://sfplanning.org/sites/default/files/resources/2026-04/2025_Housing_Inventory.pdf" TargetMode="External"/><Relationship Id="rId128" Type="http://schemas.openxmlformats.org/officeDocument/2006/relationships/hyperlink" Target="https://data.sfgov.org/Housing-and-Buildings/Affordable-Housing-Pipeline/aaxw-2cb8" TargetMode="External"/><Relationship Id="rId129" Type="http://schemas.openxmlformats.org/officeDocument/2006/relationships/hyperlink" Target="https://sfplanning.org/sites/default/files/resources/2026-04/2025_Housing_Inventory.pdf" TargetMode="External"/><Relationship Id="rId130" Type="http://schemas.openxmlformats.org/officeDocument/2006/relationships/hyperlink" Target="https://data.sfgov.org/Housing-and-Buildings/Affordable-Housing-Pipeline/aaxw-2cb8" TargetMode="External"/><Relationship Id="rId131" Type="http://schemas.openxmlformats.org/officeDocument/2006/relationships/hyperlink" Target="https://sfplanning.org/sites/default/files/resources/2025-04/2024_Housing%20Inventory.pdf" TargetMode="External"/><Relationship Id="rId132" Type="http://schemas.openxmlformats.org/officeDocument/2006/relationships/hyperlink" Target="https://sfplanning.org/sites/default/files/resources/2025-04/2024_Housing%20Inventory.pdf" TargetMode="External"/><Relationship Id="rId133" Type="http://schemas.openxmlformats.org/officeDocument/2006/relationships/hyperlink" Target="https://sfplanning.org/sites/default/files/resources/2025-04/2024_Housing%20Inventory.pdf" TargetMode="External"/><Relationship Id="rId134" Type="http://schemas.openxmlformats.org/officeDocument/2006/relationships/hyperlink" Target="https://sfplanning.org/sites/default/files/resources/2025-04/2024_Housing%20Inventory.pdf" TargetMode="External"/><Relationship Id="rId135" Type="http://schemas.openxmlformats.org/officeDocument/2006/relationships/hyperlink" Target="https://data.sfgov.org/Housing-and-Buildings/Affordable-Housing-Pipeline/aaxw-2cb8" TargetMode="External"/><Relationship Id="rId136" Type="http://schemas.openxmlformats.org/officeDocument/2006/relationships/hyperlink" Target="https://sfplanning.org/sites/default/files/resources/2025-04/2024_Housing%20Inventory.pdf" TargetMode="External"/><Relationship Id="rId137" Type="http://schemas.openxmlformats.org/officeDocument/2006/relationships/hyperlink" Target="https://sfplanning.org/sites/default/files/resources/2025-04/2024_Housing%20Inventory.pdf" TargetMode="External"/><Relationship Id="rId138" Type="http://schemas.openxmlformats.org/officeDocument/2006/relationships/hyperlink" Target="https://sfplanning.org/sites/default/files/resources/2025-04/2024_Housing%20Inventory.pdf" TargetMode="External"/><Relationship Id="rId139" Type="http://schemas.openxmlformats.org/officeDocument/2006/relationships/hyperlink" Target="https://data.sfgov.org/Housing-and-Buildings/Affordable-Housing-Pipeline/aaxw-2cb8" TargetMode="External"/><Relationship Id="rId140" Type="http://schemas.openxmlformats.org/officeDocument/2006/relationships/hyperlink" Target="https://sfplanning.org/sites/default/files/resources/2025-04/2024_Housing%20Inventory.pdf" TargetMode="External"/><Relationship Id="rId141" Type="http://schemas.openxmlformats.org/officeDocument/2006/relationships/hyperlink" Target="https://data.sfgov.org/Housing-and-Buildings/Affordable-Housing-Pipeline/aaxw-2cb8" TargetMode="External"/><Relationship Id="rId142" Type="http://schemas.openxmlformats.org/officeDocument/2006/relationships/hyperlink" Target="https://sfplanning.org/sites/default/files/resources/2025-04/2024_Housing%20Inventory.pdf" TargetMode="External"/><Relationship Id="rId143" Type="http://schemas.openxmlformats.org/officeDocument/2006/relationships/hyperlink" Target="https://sfplanning.org/sites/default/files/resources/2025-04/2024_Housing%20Inventory.pdf" TargetMode="External"/><Relationship Id="rId144" Type="http://schemas.openxmlformats.org/officeDocument/2006/relationships/hyperlink" Target="https://sfplanning.org/sites/default/files/resources/2024-04/2023_Housing_Inventory.pdf" TargetMode="External"/><Relationship Id="rId145" Type="http://schemas.openxmlformats.org/officeDocument/2006/relationships/hyperlink" Target="https://data.sfgov.org/Housing-and-Buildings/Affordable-Housing-Pipeline/aaxw-2cb8" TargetMode="External"/><Relationship Id="rId146" Type="http://schemas.openxmlformats.org/officeDocument/2006/relationships/hyperlink" Target="https://data.sfgov.org/Housing-and-Buildings/Affordable-Housing-Pipeline/aaxw-2cb8" TargetMode="External"/><Relationship Id="rId147" Type="http://schemas.openxmlformats.org/officeDocument/2006/relationships/hyperlink" Target="https://data.sfgov.org/Housing-and-Buildings/Affordable-Housing-Pipeline/aaxw-2cb8" TargetMode="External"/><Relationship Id="rId148" Type="http://schemas.openxmlformats.org/officeDocument/2006/relationships/hyperlink" Target="https://sfplanning.org/sites/default/files/resources/2024-04/2023_Housing_Inventory.pdf" TargetMode="External"/><Relationship Id="rId149" Type="http://schemas.openxmlformats.org/officeDocument/2006/relationships/hyperlink" Target="https://data.sfgov.org/Housing-and-Buildings/Affordable-Housing-Pipeline/aaxw-2cb8" TargetMode="External"/><Relationship Id="rId150" Type="http://schemas.openxmlformats.org/officeDocument/2006/relationships/hyperlink" Target="https://data.sfgov.org/Housing-and-Buildings/Affordable-Housing-Pipeline/aaxw-2cb8" TargetMode="External"/><Relationship Id="rId151" Type="http://schemas.openxmlformats.org/officeDocument/2006/relationships/hyperlink" Target="https://data.sfgov.org/Housing-and-Buildings/Affordable-Housing-Pipeline/aaxw-2cb8" TargetMode="External"/><Relationship Id="rId152" Type="http://schemas.openxmlformats.org/officeDocument/2006/relationships/hyperlink" Target="https://sfplanning.org/sites/default/files/resources/2024-04/2023_Housing_Inventory.pdf" TargetMode="External"/><Relationship Id="rId153" Type="http://schemas.openxmlformats.org/officeDocument/2006/relationships/hyperlink" Target="https://data.sfgov.org/Housing-and-Buildings/Affordable-Housing-Pipeline/aaxw-2cb8" TargetMode="External"/><Relationship Id="rId154" Type="http://schemas.openxmlformats.org/officeDocument/2006/relationships/hyperlink" Target="https://data.sfgov.org/Housing-and-Buildings/Affordable-Housing-Pipeline/aaxw-2cb8" TargetMode="External"/><Relationship Id="rId155" Type="http://schemas.openxmlformats.org/officeDocument/2006/relationships/hyperlink" Target="https://data.sfgov.org/Housing-and-Buildings/Affordable-Housing-Pipeline/aaxw-2cb8" TargetMode="External"/><Relationship Id="rId156" Type="http://schemas.openxmlformats.org/officeDocument/2006/relationships/hyperlink" Target="https://sfplanning.org/sites/default/files/resources/2024-04/2023_Housing_Inventory.pdf" TargetMode="External"/><Relationship Id="rId157" Type="http://schemas.openxmlformats.org/officeDocument/2006/relationships/hyperlink" Target="https://data.sfgov.org/Housing-and-Buildings/Affordable-Housing-Pipeline/aaxw-2cb8" TargetMode="External"/><Relationship Id="rId158" Type="http://schemas.openxmlformats.org/officeDocument/2006/relationships/hyperlink" Target="https://data.sfgov.org/Housing-and-Buildings/Affordable-Housing-Pipeline/aaxw-2cb8" TargetMode="External"/><Relationship Id="rId159" Type="http://schemas.openxmlformats.org/officeDocument/2006/relationships/hyperlink" Target="https://data.sfgov.org/Housing-and-Buildings/Affordable-Housing-Pipeline/aaxw-2cb8" TargetMode="External"/><Relationship Id="rId160" Type="http://schemas.openxmlformats.org/officeDocument/2006/relationships/hyperlink" Target="https://data.sfgov.org/Housing-and-Buildings/Affordable-Housing-Pipeline/aaxw-2cb8" TargetMode="External"/><Relationship Id="rId161" Type="http://schemas.openxmlformats.org/officeDocument/2006/relationships/hyperlink" Target="https://data.sfgov.org/Housing-and-Buildings/Affordable-Housing-Pipeline/aaxw-2cb8" TargetMode="External"/><Relationship Id="rId162" Type="http://schemas.openxmlformats.org/officeDocument/2006/relationships/hyperlink" Target="https://data.sfgov.org/Housing-and-Buildings/Affordable-Housing-Pipeline/aaxw-2cb8" TargetMode="External"/><Relationship Id="rId163" Type="http://schemas.openxmlformats.org/officeDocument/2006/relationships/hyperlink" Target="https://data.sfgov.org/Housing-and-Buildings/Affordable-Housing-Pipeline/aaxw-2cb8" TargetMode="External"/><Relationship Id="rId164" Type="http://schemas.openxmlformats.org/officeDocument/2006/relationships/hyperlink" Target="https://data.sfgov.org/Housing-and-Buildings/Affordable-Housing-Pipeline/aaxw-2cb8" TargetMode="External"/><Relationship Id="rId165" Type="http://schemas.openxmlformats.org/officeDocument/2006/relationships/hyperlink" Target="https://data.sfgov.org/Housing-and-Buildings/Affordable-Housing-Pipeline/aaxw-2cb8" TargetMode="External"/><Relationship Id="rId166" Type="http://schemas.openxmlformats.org/officeDocument/2006/relationships/hyperlink" Target="https://data.sfgov.org/Housing-and-Buildings/Affordable-Housing-Pipeline/aaxw-2cb8" TargetMode="External"/><Relationship Id="rId167" Type="http://schemas.openxmlformats.org/officeDocument/2006/relationships/hyperlink" Target="https://data.sfgov.org/Housing-and-Buildings/Affordable-Housing-Pipeline/aaxw-2cb8" TargetMode="External"/><Relationship Id="rId168" Type="http://schemas.openxmlformats.org/officeDocument/2006/relationships/hyperlink" Target="https://data.sfgov.org/Housing-and-Buildings/Affordable-Housing-Pipeline/aaxw-2cb8" TargetMode="External"/><Relationship Id="rId169" Type="http://schemas.openxmlformats.org/officeDocument/2006/relationships/hyperlink" Target="https://data.sfgov.org/Housing-and-Buildings/Affordable-Housing-Pipeline/aaxw-2cb8" TargetMode="External"/><Relationship Id="rId170" Type="http://schemas.openxmlformats.org/officeDocument/2006/relationships/hyperlink" Target="https://data.sfgov.org/Housing-and-Buildings/Affordable-Housing-Pipeline/aaxw-2cb8" TargetMode="External"/><Relationship Id="rId171" Type="http://schemas.openxmlformats.org/officeDocument/2006/relationships/hyperlink" Target="https://data.sfgov.org/Housing-and-Buildings/Affordable-Housing-Pipeline/aaxw-2cb8" TargetMode="External"/><Relationship Id="rId172" Type="http://schemas.openxmlformats.org/officeDocument/2006/relationships/hyperlink" Target="https://data.sfgov.org/Housing-and-Buildings/Affordable-Housing-Pipeline/aaxw-2cb8" TargetMode="External"/><Relationship Id="rId173" Type="http://schemas.openxmlformats.org/officeDocument/2006/relationships/hyperlink" Target="https://data.sfgov.org/Housing-and-Buildings/Affordable-Housing-Pipeline/aaxw-2cb8" TargetMode="External"/><Relationship Id="rId174" Type="http://schemas.openxmlformats.org/officeDocument/2006/relationships/hyperlink" Target="https://data.sfgov.org/Housing-and-Buildings/Affordable-Housing-Pipeline/aaxw-2cb8" TargetMode="External"/><Relationship Id="rId175" Type="http://schemas.openxmlformats.org/officeDocument/2006/relationships/hyperlink" Target="https://data.sfgov.org/Housing-and-Buildings/Affordable-Housing-Pipeline/aaxw-2cb8" TargetMode="External"/><Relationship Id="rId176" Type="http://schemas.openxmlformats.org/officeDocument/2006/relationships/hyperlink" Target="https://data.sfgov.org/Housing-and-Buildings/Affordable-Housing-Pipeline/aaxw-2cb8" TargetMode="External"/><Relationship Id="rId177" Type="http://schemas.openxmlformats.org/officeDocument/2006/relationships/hyperlink" Target="https://data.sfgov.org/Housing-and-Buildings/Affordable-Housing-Pipeline/aaxw-2cb8" TargetMode="External"/><Relationship Id="rId178" Type="http://schemas.openxmlformats.org/officeDocument/2006/relationships/hyperlink" Target="https://data.sfgov.org/Housing-and-Buildings/Affordable-Housing-Pipeline/aaxw-2cb8" TargetMode="External"/><Relationship Id="rId179" Type="http://schemas.openxmlformats.org/officeDocument/2006/relationships/hyperlink" Target="https://data.sfgov.org/Housing-and-Buildings/Affordable-Housing-Pipeline/aaxw-2cb8" TargetMode="External"/><Relationship Id="rId180" Type="http://schemas.openxmlformats.org/officeDocument/2006/relationships/hyperlink" Target="https://data.sfgov.org/Housing-and-Buildings/Affordable-Housing-Pipeline/aaxw-2cb8" TargetMode="External"/><Relationship Id="rId181" Type="http://schemas.openxmlformats.org/officeDocument/2006/relationships/hyperlink" Target="https://data.sfgov.org/Housing-and-Buildings/Affordable-Housing-Pipeline/aaxw-2cb8" TargetMode="External"/><Relationship Id="rId182" Type="http://schemas.openxmlformats.org/officeDocument/2006/relationships/hyperlink" Target="https://data.sfgov.org/Housing-and-Buildings/Affordable-Housing-Pipeline/aaxw-2cb8" TargetMode="External"/><Relationship Id="rId183" Type="http://schemas.openxmlformats.org/officeDocument/2006/relationships/hyperlink" Target="https://data.sfgov.org/Housing-and-Buildings/Affordable-Housing-Pipeline/aaxw-2cb8" TargetMode="External"/><Relationship Id="rId184" Type="http://schemas.openxmlformats.org/officeDocument/2006/relationships/hyperlink" Target="https://data.sfgov.org/Housing-and-Buildings/Affordable-Housing-Pipeline/aaxw-2cb8" TargetMode="External"/><Relationship Id="rId185" Type="http://schemas.openxmlformats.org/officeDocument/2006/relationships/hyperlink" Target="https://data.sfgov.org/Housing-and-Buildings/Affordable-Housing-Pipeline/aaxw-2cb8" TargetMode="External"/><Relationship Id="rId186" Type="http://schemas.openxmlformats.org/officeDocument/2006/relationships/hyperlink" Target="https://data.sfgov.org/Housing-and-Buildings/Affordable-Housing-Pipeline/aaxw-2cb8" TargetMode="External"/><Relationship Id="rId187" Type="http://schemas.openxmlformats.org/officeDocument/2006/relationships/hyperlink" Target="https://data.sfgov.org/Housing-and-Buildings/Affordable-Housing-Pipeline/aaxw-2cb8" TargetMode="External"/><Relationship Id="rId188" Type="http://schemas.openxmlformats.org/officeDocument/2006/relationships/hyperlink" Target="https://data.sfgov.org/Housing-and-Buildings/Affordable-Housing-Pipeline/aaxw-2cb8" TargetMode="External"/><Relationship Id="rId189" Type="http://schemas.openxmlformats.org/officeDocument/2006/relationships/hyperlink" Target="https://data.sfgov.org/Housing-and-Buildings/Affordable-Housing-Pipeline/aaxw-2cb8" TargetMode="External"/><Relationship Id="rId190" Type="http://schemas.openxmlformats.org/officeDocument/2006/relationships/hyperlink" Target="https://data.sfgov.org/Housing-and-Buildings/Affordable-Housing-Pipeline/aaxw-2cb8" TargetMode="External"/><Relationship Id="rId191" Type="http://schemas.openxmlformats.org/officeDocument/2006/relationships/hyperlink" Target="https://data.sfgov.org/Housing-and-Buildings/Affordable-Housing-Pipeline/aaxw-2cb8" TargetMode="External"/><Relationship Id="rId192" Type="http://schemas.openxmlformats.org/officeDocument/2006/relationships/hyperlink" Target="https://data.sfgov.org/Housing-and-Buildings/Affordable-Housing-Pipeline/aaxw-2cb8" TargetMode="External"/><Relationship Id="rId193" Type="http://schemas.openxmlformats.org/officeDocument/2006/relationships/hyperlink" Target="https://data.sfgov.org/Housing-and-Buildings/Affordable-Housing-Pipeline/aaxw-2cb8" TargetMode="External"/><Relationship Id="rId194" Type="http://schemas.openxmlformats.org/officeDocument/2006/relationships/hyperlink" Target="https://data.sfgov.org/Housing-and-Buildings/Affordable-Housing-Pipeline/aaxw-2cb8" TargetMode="External"/><Relationship Id="rId195" Type="http://schemas.openxmlformats.org/officeDocument/2006/relationships/hyperlink" Target="https://data.sfgov.org/Housing-and-Buildings/Affordable-Housing-Pipeline/aaxw-2cb8" TargetMode="External"/><Relationship Id="rId196" Type="http://schemas.openxmlformats.org/officeDocument/2006/relationships/hyperlink" Target="https://data.sfgov.org/Housing-and-Buildings/Affordable-Housing-Pipeline/aaxw-2cb8" TargetMode="External"/><Relationship Id="rId197" Type="http://schemas.openxmlformats.org/officeDocument/2006/relationships/hyperlink" Target="https://data.sfgov.org/Housing-and-Buildings/Affordable-Housing-Pipeline/aaxw-2cb8" TargetMode="External"/><Relationship Id="rId198" Type="http://schemas.openxmlformats.org/officeDocument/2006/relationships/hyperlink" Target="https://data.sfgov.org/Housing-and-Buildings/Affordable-Housing-Pipeline/aaxw-2cb8" TargetMode="External"/><Relationship Id="rId199" Type="http://schemas.openxmlformats.org/officeDocument/2006/relationships/hyperlink" Target="https://data.sfgov.org/Housing-and-Buildings/Affordable-Housing-Pipeline/aaxw-2cb8" TargetMode="External"/><Relationship Id="rId200" Type="http://schemas.openxmlformats.org/officeDocument/2006/relationships/hyperlink" Target="https://data.sfgov.org/Housing-and-Buildings/Affordable-Housing-Pipeline/aaxw-2cb8" TargetMode="External"/><Relationship Id="rId201" Type="http://schemas.openxmlformats.org/officeDocument/2006/relationships/hyperlink" Target="https://data.sfgov.org/Housing-and-Buildings/Affordable-Housing-Pipeline/aaxw-2cb8" TargetMode="External"/><Relationship Id="rId202" Type="http://schemas.openxmlformats.org/officeDocument/2006/relationships/hyperlink" Target="https://data.sfgov.org/Housing-and-Buildings/Affordable-Housing-Pipeline/aaxw-2cb8" TargetMode="External"/><Relationship Id="rId203" Type="http://schemas.openxmlformats.org/officeDocument/2006/relationships/hyperlink" Target="https://data.sfgov.org/Housing-and-Buildings/Affordable-Housing-Pipeline/aaxw-2cb8" TargetMode="External"/><Relationship Id="rId204" Type="http://schemas.openxmlformats.org/officeDocument/2006/relationships/hyperlink" Target="https://data.sfgov.org/Housing-and-Buildings/Affordable-Housing-Pipeline/aaxw-2cb8" TargetMode="External"/><Relationship Id="rId205" Type="http://schemas.openxmlformats.org/officeDocument/2006/relationships/hyperlink" Target="https://data.sfgov.org/Housing-and-Buildings/Affordable-Housing-Pipeline/aaxw-2cb8" TargetMode="External"/><Relationship Id="rId206" Type="http://schemas.openxmlformats.org/officeDocument/2006/relationships/hyperlink" Target="https://data.sfgov.org/Housing-and-Buildings/Affordable-Housing-Pipeline/aaxw-2cb8" TargetMode="External"/><Relationship Id="rId207" Type="http://schemas.openxmlformats.org/officeDocument/2006/relationships/hyperlink" Target="https://data.sfgov.org/Housing-and-Buildings/Affordable-Housing-Pipeline/aaxw-2cb8" TargetMode="External"/><Relationship Id="rId208" Type="http://schemas.openxmlformats.org/officeDocument/2006/relationships/hyperlink" Target="https://data.sfgov.org/Housing-and-Buildings/Affordable-Housing-Pipeline/aaxw-2cb8" TargetMode="External"/><Relationship Id="rId209" Type="http://schemas.openxmlformats.org/officeDocument/2006/relationships/hyperlink" Target="https://sfplanning.org/sites/default/files/resources/2026-04/2025_Housing_Inventory.pdf" TargetMode="External"/><Relationship Id="rId210" Type="http://schemas.openxmlformats.org/officeDocument/2006/relationships/hyperlink" Target="https://sfplanning.org/sites/default/files/resources/2026-04/2025_Housing_Inventory.pdf" TargetMode="External"/><Relationship Id="rId211" Type="http://schemas.openxmlformats.org/officeDocument/2006/relationships/hyperlink" Target="https://sfplanning.org/sites/default/files/resources/2026-04/2025_Housing_Inventory.pdf" TargetMode="External"/><Relationship Id="rId212" Type="http://schemas.openxmlformats.org/officeDocument/2006/relationships/hyperlink" Target="https://sfplanning.org/sites/default/files/resources/2026-04/2025_Housing_Inventory.pdf" TargetMode="External"/><Relationship Id="rId213" Type="http://schemas.openxmlformats.org/officeDocument/2006/relationships/hyperlink" Target="https://sfplanning.org/sites/default/files/resources/2026-04/2025_Housing_Inventory.pdf" TargetMode="External"/><Relationship Id="rId214" Type="http://schemas.openxmlformats.org/officeDocument/2006/relationships/hyperlink" Target="https://sfplanning.org/sites/default/files/resources/2026-04/2025_Housing_Inventory.pdf" TargetMode="External"/><Relationship Id="rId215" Type="http://schemas.openxmlformats.org/officeDocument/2006/relationships/hyperlink" Target="https://data.sfgov.org/Housing-and-Buildings/Affordable-Housing-Pipeline/aaxw-2cb8" TargetMode="External"/><Relationship Id="rId216" Type="http://schemas.openxmlformats.org/officeDocument/2006/relationships/hyperlink" Target="https://data.sfgov.org/Housing-and-Buildings/Affordable-Housing-Pipeline/aaxw-2cb8" TargetMode="External"/><Relationship Id="rId217" Type="http://schemas.openxmlformats.org/officeDocument/2006/relationships/hyperlink" Target="https://data.sfgov.org/Housing-and-Buildings/Affordable-Housing-Pipeline/aaxw-2cb8" TargetMode="External"/><Relationship Id="rId218" Type="http://schemas.openxmlformats.org/officeDocument/2006/relationships/hyperlink" Target="https://sfplanning.org/sites/default/files/resources/2026-04/2025_Housing_Inventory.pdf" TargetMode="External"/><Relationship Id="rId219" Type="http://schemas.openxmlformats.org/officeDocument/2006/relationships/hyperlink" Target="https://sfplanning.org/sites/default/files/resources/2026-04/2025_Housing_Inventory.pdf" TargetMode="External"/><Relationship Id="rId220" Type="http://schemas.openxmlformats.org/officeDocument/2006/relationships/hyperlink" Target="https://sfplanning.org/sites/default/files/resources/2026-04/2025_Housing_Inventory.pdf" TargetMode="External"/><Relationship Id="rId221" Type="http://schemas.openxmlformats.org/officeDocument/2006/relationships/hyperlink" Target="https://sfplanning.org/sites/default/files/resources/2026-04/2025_Housing_Inventory.pdf" TargetMode="External"/><Relationship Id="rId222" Type="http://schemas.openxmlformats.org/officeDocument/2006/relationships/hyperlink" Target="https://sfplanning.org/sites/default/files/resources/2026-04/2025_Housing_Inventory.pdf" TargetMode="External"/><Relationship Id="rId223" Type="http://schemas.openxmlformats.org/officeDocument/2006/relationships/hyperlink" Target="https://sfplanning.org/sites/default/files/resources/2025-04/2024_Housing%20Inventory.pdf" TargetMode="External"/><Relationship Id="rId224" Type="http://schemas.openxmlformats.org/officeDocument/2006/relationships/hyperlink" Target="https://sfplanning.org/sites/default/files/resources/2025-04/2024_Housing%20Inventory.pdf" TargetMode="External"/><Relationship Id="rId225" Type="http://schemas.openxmlformats.org/officeDocument/2006/relationships/hyperlink" Target="https://sfplanning.org/sites/default/files/resources/2025-04/2024_Housing%20Inventory.pdf" TargetMode="External"/><Relationship Id="rId226" Type="http://schemas.openxmlformats.org/officeDocument/2006/relationships/hyperlink" Target="https://sfplanning.org/sites/default/files/resources/2024-04/2023_Housing_Inventory.pdf" TargetMode="External"/><Relationship Id="rId227" Type="http://schemas.openxmlformats.org/officeDocument/2006/relationships/hyperlink" Target="https://sfplanning.org/sites/default/files/resources/2024-04/2023_Housing_Inventory.pdf" TargetMode="External"/><Relationship Id="rId228" Type="http://schemas.openxmlformats.org/officeDocument/2006/relationships/hyperlink" Target="https://sfplanning.org/sites/default/files/resources/2024-04/2023_Housing_Inventory.pdf" TargetMode="External"/><Relationship Id="rId229" Type="http://schemas.openxmlformats.org/officeDocument/2006/relationships/hyperlink" Target="https://sfplanning.org/sites/default/files/resources/2024-04/2023_Housing_Inventory.pdf" TargetMode="External"/><Relationship Id="rId230" Type="http://schemas.openxmlformats.org/officeDocument/2006/relationships/hyperlink" Target="https://data.sfgov.org/Housing-and-Buildings/Affordable-Housing-Pipeline/aaxw-2cb8" TargetMode="External"/><Relationship Id="rId231" Type="http://schemas.openxmlformats.org/officeDocument/2006/relationships/hyperlink" Target="https://data.sfgov.org/Housing-and-Buildings/Affordable-Housing-Pipeline/aaxw-2cb8" TargetMode="External"/><Relationship Id="rId232" Type="http://schemas.openxmlformats.org/officeDocument/2006/relationships/hyperlink" Target="https://data.sfgov.org/Housing-and-Buildings/Affordable-Housing-Pipeline/aaxw-2cb8" TargetMode="External"/><Relationship Id="rId233" Type="http://schemas.openxmlformats.org/officeDocument/2006/relationships/hyperlink" Target="https://data.sfgov.org/Housing-and-Buildings/Affordable-Housing-Pipeline/aaxw-2cb8" TargetMode="External"/><Relationship Id="rId234" Type="http://schemas.openxmlformats.org/officeDocument/2006/relationships/hyperlink" Target="https://data.sfgov.org/Housing-and-Buildings/Affordable-Housing-Pipeline/aaxw-2cb8" TargetMode="External"/><Relationship Id="rId235" Type="http://schemas.openxmlformats.org/officeDocument/2006/relationships/hyperlink" Target="https://data.sfgov.org/Housing-and-Buildings/Affordable-Housing-Pipeline/aaxw-2cb8" TargetMode="External"/><Relationship Id="rId236" Type="http://schemas.openxmlformats.org/officeDocument/2006/relationships/hyperlink" Target="https://data.sfgov.org/Housing-and-Buildings/Affordable-Housing-Pipeline/aaxw-2cb8" TargetMode="External"/><Relationship Id="rId237" Type="http://schemas.openxmlformats.org/officeDocument/2006/relationships/hyperlink" Target="https://data.sfgov.org/Housing-and-Buildings/Affordable-Housing-Pipeline/aaxw-2cb8" TargetMode="External"/><Relationship Id="rId238" Type="http://schemas.openxmlformats.org/officeDocument/2006/relationships/hyperlink" Target="https://data.sfgov.org/Housing-and-Buildings/Affordable-Housing-Pipeline/aaxw-2cb8" TargetMode="External"/><Relationship Id="rId239" Type="http://schemas.openxmlformats.org/officeDocument/2006/relationships/hyperlink" Target="https://data.sfgov.org/Housing-and-Buildings/Affordable-Housing-Pipeline/aaxw-2cb8" TargetMode="External"/><Relationship Id="rId240" Type="http://schemas.openxmlformats.org/officeDocument/2006/relationships/hyperlink" Target="https://data.sfgov.org/Housing-and-Buildings/Affordable-Housing-Pipeline/aaxw-2cb8" TargetMode="External"/><Relationship Id="rId241" Type="http://schemas.openxmlformats.org/officeDocument/2006/relationships/hyperlink" Target="https://data.sfgov.org/Housing-and-Buildings/Affordable-Housing-Pipeline/aaxw-2cb8" TargetMode="External"/><Relationship Id="rId242" Type="http://schemas.openxmlformats.org/officeDocument/2006/relationships/hyperlink" Target="https://sfplanning.org/project/freedom-west-homes-project" TargetMode="External"/><Relationship Id="rId243" Type="http://schemas.openxmlformats.org/officeDocument/2006/relationships/hyperlink" Target="https://data.sfgov.org/Housing-and-Buildings/Affordable-Housing-Pipeline/aaxw-2cb8" TargetMode="External"/><Relationship Id="rId244" Type="http://schemas.openxmlformats.org/officeDocument/2006/relationships/hyperlink" Target="https://data.sfgov.org/Housing-and-Buildings/Affordable-Housing-Pipeline/aaxw-2cb8" TargetMode="External"/><Relationship Id="rId245" Type="http://schemas.openxmlformats.org/officeDocument/2006/relationships/hyperlink" Target="https://data.sfgov.org/Housing-and-Buildings/Affordable-Housing-Pipeline/aaxw-2cb8" TargetMode="External"/><Relationship Id="rId246" Type="http://schemas.openxmlformats.org/officeDocument/2006/relationships/hyperlink" Target="https://data.sfgov.org/Housing-and-Buildings/Affordable-Housing-Pipeline/aaxw-2cb8" TargetMode="External"/><Relationship Id="rId247" Type="http://schemas.openxmlformats.org/officeDocument/2006/relationships/hyperlink" Target="https://data.sfgov.org/Housing-and-Buildings/Affordable-Housing-Pipeline/aaxw-2cb8" TargetMode="External"/><Relationship Id="rId248" Type="http://schemas.openxmlformats.org/officeDocument/2006/relationships/hyperlink" Target="https://data.sfgov.org/Housing-and-Buildings/Affordable-Housing-Pipeline/aaxw-2cb8" TargetMode="External"/><Relationship Id="rId249" Type="http://schemas.openxmlformats.org/officeDocument/2006/relationships/hyperlink" Target="https://data.sfgov.org/Housing-and-Buildings/Affordable-Housing-Pipeline/aaxw-2cb8" TargetMode="External"/><Relationship Id="rId250" Type="http://schemas.openxmlformats.org/officeDocument/2006/relationships/hyperlink" Target="https://data.sfgov.org/Housing-and-Buildings/Affordable-Housing-Pipeline/aaxw-2cb8" TargetMode="External"/><Relationship Id="rId251" Type="http://schemas.openxmlformats.org/officeDocument/2006/relationships/hyperlink" Target="https://www.sf.gov/news/mayor-london-breed-celebrates-groundbreaking-new-senior-housing-development-mission" TargetMode="External"/><Relationship Id="rId252" Type="http://schemas.openxmlformats.org/officeDocument/2006/relationships/hyperlink" Target="https://sfplanning.org/project/pipeline-report" TargetMode="External"/><Relationship Id="rId253" Type="http://schemas.openxmlformats.org/officeDocument/2006/relationships/hyperlink" Target="https://sfplanning.org/project/pipeline-report" TargetMode="External"/><Relationship Id="rId254" Type="http://schemas.openxmlformats.org/officeDocument/2006/relationships/hyperlink" Target="https://sfplanning.org/project/pipeline-report" TargetMode="External"/><Relationship Id="rId255" Type="http://schemas.openxmlformats.org/officeDocument/2006/relationships/hyperlink" Target="https://sfplanning.org/project/pipeline-report" TargetMode="External"/><Relationship Id="rId256" Type="http://schemas.openxmlformats.org/officeDocument/2006/relationships/hyperlink" Target="https://sfplanning.org/project/pipeline-report" TargetMode="External"/><Relationship Id="rId257" Type="http://schemas.openxmlformats.org/officeDocument/2006/relationships/hyperlink" Target="https://sfplanning.org/project/pipeline-report" TargetMode="External"/><Relationship Id="rId258" Type="http://schemas.openxmlformats.org/officeDocument/2006/relationships/hyperlink" Target="https://sfplanning.org/project/pipeline-report" TargetMode="External"/><Relationship Id="rId259" Type="http://schemas.openxmlformats.org/officeDocument/2006/relationships/hyperlink" Target="https://sfplanning.org/project/pipeline-report" TargetMode="External"/><Relationship Id="rId260" Type="http://schemas.openxmlformats.org/officeDocument/2006/relationships/hyperlink" Target="https://sfplanning.org/project/pipeline-report" TargetMode="External"/><Relationship Id="rId261" Type="http://schemas.openxmlformats.org/officeDocument/2006/relationships/hyperlink" Target="https://sfplanning.org/project/pipeline-report" TargetMode="External"/><Relationship Id="rId262" Type="http://schemas.openxmlformats.org/officeDocument/2006/relationships/hyperlink" Target="https://sfplanning.org/project/pipeline-report" TargetMode="External"/><Relationship Id="rId263" Type="http://schemas.openxmlformats.org/officeDocument/2006/relationships/hyperlink" Target="https://sfplanning.org/project/pipeline-report" TargetMode="External"/><Relationship Id="rId264" Type="http://schemas.openxmlformats.org/officeDocument/2006/relationships/hyperlink" Target="https://sfplanning.org/project/pipeline-report" TargetMode="External"/><Relationship Id="rId265" Type="http://schemas.openxmlformats.org/officeDocument/2006/relationships/hyperlink" Target="https://sfplanning.org/project/pipeline-report" TargetMode="External"/><Relationship Id="rId266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sfplanning.org/sites/default/files/resources/2026-04/2025_Housing_Inventory.pdf" TargetMode="External"/><Relationship Id="rId2" Type="http://schemas.openxmlformats.org/officeDocument/2006/relationships/hyperlink" Target="https://sfplanning.org/sites/default/files/resources/2025-04/2024_Housing%20Inventory.pdf" TargetMode="External"/><Relationship Id="rId3" Type="http://schemas.openxmlformats.org/officeDocument/2006/relationships/hyperlink" Target="https://sfplanning.org/sites/default/files/resources/2024-04/2023_Housing_Inventory.pdf" TargetMode="External"/><Relationship Id="rId4" Type="http://schemas.openxmlformats.org/officeDocument/2006/relationships/hyperlink" Target="https://sfplanning.org/project/housing-inventory" TargetMode="External"/><Relationship Id="rId5" Type="http://schemas.openxmlformats.org/officeDocument/2006/relationships/hyperlink" Target="https://sfplanning.org/project/pipeline-report" TargetMode="External"/><Relationship Id="rId6" Type="http://schemas.openxmlformats.org/officeDocument/2006/relationships/hyperlink" Target="https://data.sf.gov/d/6jgi-cpb4" TargetMode="External"/><Relationship Id="rId7" Type="http://schemas.openxmlformats.org/officeDocument/2006/relationships/hyperlink" Target="https://data.sfgov.org/Housing-and-Buildings/Affordable-Housing-Pipeline/aaxw-2cb8" TargetMode="External"/><Relationship Id="rId8" Type="http://schemas.openxmlformats.org/officeDocument/2006/relationships/hyperlink" Target="https://sfplanning.org/san-francisco-housing-dashboard" TargetMode="External"/><Relationship Id="rId9" Type="http://schemas.openxmlformats.org/officeDocument/2006/relationships/hyperlink" Target="https://data.sfgov.org/Housing-and-Buildings/Dwelling-Unit-Completion-Counts-by-Building-Permit/j67f-aayr" TargetMode="External"/><Relationship Id="rId10" Type="http://schemas.openxmlformats.org/officeDocument/2006/relationships/hyperlink" Target="https://thefrisc.com/sf-has-built-only-400-homes-this-year-tens-of-thousands-more-are-waiting/" TargetMode="External"/><Relationship Id="rId11" Type="http://schemas.openxmlformats.org/officeDocument/2006/relationships/hyperlink" Target="https://www.sfchronicle.com/realestate/article/sf-homes-built-22208676.php" TargetMode="External"/><Relationship Id="rId12" Type="http://schemas.openxmlformats.org/officeDocument/2006/relationships/hyperlink" Target="https://www.huduser.gov/portal/publications/pdf/CMARtables_SanFranciscoRedwoodCitySouthSanFranciscoCA_24.pdf" TargetMode="External"/><Relationship Id="rId13" Type="http://schemas.openxmlformats.org/officeDocument/2006/relationships/hyperlink" Target="https://censusreporter.org/profiles/16000US0667000-san-francisco-ca" TargetMode="External"/><Relationship Id="rId14" Type="http://schemas.openxmlformats.org/officeDocument/2006/relationships/hyperlink" Target="https://www.treasurer.ca.gov/ctcac/" TargetMode="External"/><Relationship Id="rId15" Type="http://schemas.openxmlformats.org/officeDocument/2006/relationships/hyperlink" Target="https://www.sf.gov/departments--mayors-office-housing-and-community-development" TargetMode="External"/><Relationship Id="rId16" Type="http://schemas.openxmlformats.org/officeDocument/2006/relationships/hyperlink" Target="https://www.calhfa.ca.gov/multifamily/mixedincome/approved/20250623-Sutter-Street.pdf" TargetMode="External"/><Relationship Id="rId17" Type="http://schemas.openxmlformats.org/officeDocument/2006/relationships/hyperlink" Target="https://sfyimby.com/" TargetMode="External"/><Relationship Id="rId18" Type="http://schemas.openxmlformats.org/officeDocument/2006/relationships/hyperlink" Target="https://www.sf.gov/news" TargetMode="External"/><Relationship Id="rId19" Type="http://schemas.openxmlformats.org/officeDocument/2006/relationships/hyperlink" Target="https://www.costar.com/article/147377327" TargetMode="External"/><Relationship Id="rId20" Type="http://schemas.openxmlformats.org/officeDocument/2006/relationships/hyperlink" Target="https://www.sfchronicle.com/realestate/article/sf-housing-affordable-apartments-20816373.php" TargetMode="External"/><Relationship Id="rId21" Type="http://schemas.openxmlformats.org/officeDocument/2006/relationships/hyperlink" Target="https://www.chinatowncdc.org/our-housing/in-developmen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23.8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18</v>
      </c>
    </row>
    <row r="24" customFormat="false" ht="35.05" hidden="false" customHeight="false" outlineLevel="0" collapsed="false">
      <c r="A24" s="2" t="s">
        <v>19</v>
      </c>
    </row>
    <row r="25" customFormat="false" ht="23.8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8"/>
    <col collapsed="false" customWidth="true" hidden="false" outlineLevel="0" max="7" min="7" style="0" width="20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4" t="s">
        <v>23</v>
      </c>
    </row>
    <row r="2" customFormat="false" ht="15" hidden="false" customHeight="false" outlineLevel="0" collapsed="false">
      <c r="A2" s="5" t="s">
        <v>24</v>
      </c>
    </row>
    <row r="4" customFormat="false" ht="15" hidden="false" customHeight="false" outlineLevel="0" collapsed="false">
      <c r="A4" s="6" t="s">
        <v>25</v>
      </c>
    </row>
    <row r="5" customFormat="false" ht="15" hidden="false" customHeight="false" outlineLevel="0" collapsed="false">
      <c r="A5" s="7" t="s">
        <v>26</v>
      </c>
      <c r="B5" s="7" t="s">
        <v>27</v>
      </c>
      <c r="C5" s="7" t="s">
        <v>28</v>
      </c>
      <c r="D5" s="7" t="s">
        <v>29</v>
      </c>
    </row>
    <row r="6" customFormat="false" ht="15" hidden="false" customHeight="false" outlineLevel="0" collapsed="false">
      <c r="A6" s="8" t="s">
        <v>30</v>
      </c>
      <c r="B6" s="9" t="n">
        <v>422958</v>
      </c>
      <c r="C6" s="8" t="s">
        <v>31</v>
      </c>
      <c r="D6" s="8" t="s">
        <v>32</v>
      </c>
    </row>
    <row r="7" customFormat="false" ht="15" hidden="false" customHeight="false" outlineLevel="0" collapsed="false">
      <c r="A7" s="8" t="s">
        <v>33</v>
      </c>
      <c r="B7" s="9" t="n">
        <v>2669</v>
      </c>
      <c r="C7" s="8" t="s">
        <v>34</v>
      </c>
      <c r="D7" s="8" t="s">
        <v>35</v>
      </c>
    </row>
    <row r="8" customFormat="false" ht="15" hidden="false" customHeight="false" outlineLevel="0" collapsed="false">
      <c r="A8" s="8" t="s">
        <v>36</v>
      </c>
      <c r="B8" s="9" t="n">
        <v>2406</v>
      </c>
      <c r="C8" s="8" t="s">
        <v>34</v>
      </c>
      <c r="D8" s="8" t="s">
        <v>35</v>
      </c>
    </row>
    <row r="9" customFormat="false" ht="15" hidden="false" customHeight="false" outlineLevel="0" collapsed="false">
      <c r="A9" s="8" t="s">
        <v>37</v>
      </c>
      <c r="B9" s="9" t="n">
        <v>405</v>
      </c>
      <c r="C9" s="8" t="s">
        <v>38</v>
      </c>
      <c r="D9" s="8" t="s">
        <v>39</v>
      </c>
    </row>
    <row r="10" customFormat="false" ht="15" hidden="false" customHeight="false" outlineLevel="0" collapsed="false">
      <c r="A10" s="8" t="s">
        <v>40</v>
      </c>
      <c r="B10" s="9" t="n">
        <v>1900</v>
      </c>
      <c r="C10" s="8" t="s">
        <v>34</v>
      </c>
      <c r="D10" s="8" t="s">
        <v>35</v>
      </c>
    </row>
    <row r="11" customFormat="false" ht="15" hidden="false" customHeight="false" outlineLevel="0" collapsed="false">
      <c r="A11" s="8" t="s">
        <v>41</v>
      </c>
      <c r="B11" s="9" t="n">
        <v>3723</v>
      </c>
      <c r="C11" s="8" t="s">
        <v>34</v>
      </c>
      <c r="D11" s="8" t="s">
        <v>42</v>
      </c>
    </row>
    <row r="12" customFormat="false" ht="15" hidden="false" customHeight="false" outlineLevel="0" collapsed="false">
      <c r="A12" s="8" t="s">
        <v>43</v>
      </c>
      <c r="B12" s="9" t="n">
        <v>9614</v>
      </c>
      <c r="C12" s="8" t="s">
        <v>34</v>
      </c>
      <c r="D12" s="8" t="s">
        <v>42</v>
      </c>
    </row>
    <row r="13" customFormat="false" ht="15" hidden="false" customHeight="false" outlineLevel="0" collapsed="false">
      <c r="A13" s="8" t="s">
        <v>44</v>
      </c>
      <c r="B13" s="9" t="n">
        <v>1758</v>
      </c>
      <c r="C13" s="8" t="s">
        <v>34</v>
      </c>
      <c r="D13" s="8" t="s">
        <v>45</v>
      </c>
    </row>
    <row r="14" customFormat="false" ht="15" hidden="false" customHeight="false" outlineLevel="0" collapsed="false">
      <c r="A14" s="8" t="s">
        <v>46</v>
      </c>
      <c r="B14" s="9" t="n">
        <v>75853</v>
      </c>
      <c r="C14" s="8" t="s">
        <v>47</v>
      </c>
      <c r="D14" s="8" t="s">
        <v>48</v>
      </c>
    </row>
    <row r="15" customFormat="false" ht="15" hidden="false" customHeight="false" outlineLevel="0" collapsed="false">
      <c r="A15" s="8" t="s">
        <v>49</v>
      </c>
      <c r="B15" s="9" t="n">
        <v>18536</v>
      </c>
      <c r="C15" s="8" t="s">
        <v>50</v>
      </c>
      <c r="D15" s="8" t="s">
        <v>48</v>
      </c>
    </row>
    <row r="16" customFormat="false" ht="15" hidden="false" customHeight="false" outlineLevel="0" collapsed="false">
      <c r="A16" s="8" t="s">
        <v>51</v>
      </c>
      <c r="B16" s="9" t="n">
        <v>3301</v>
      </c>
      <c r="C16" s="8" t="s">
        <v>50</v>
      </c>
      <c r="D16" s="8" t="s">
        <v>48</v>
      </c>
    </row>
    <row r="17" customFormat="false" ht="15" hidden="false" customHeight="false" outlineLevel="0" collapsed="false">
      <c r="A17" s="8" t="s">
        <v>52</v>
      </c>
      <c r="B17" s="9" t="n">
        <v>1219</v>
      </c>
      <c r="C17" s="8" t="s">
        <v>50</v>
      </c>
      <c r="D17" s="8" t="s">
        <v>48</v>
      </c>
    </row>
    <row r="18" customFormat="false" ht="15" hidden="false" customHeight="false" outlineLevel="0" collapsed="false">
      <c r="A18" s="8" t="s">
        <v>53</v>
      </c>
      <c r="B18" s="9" t="n">
        <v>2422</v>
      </c>
      <c r="C18" s="8" t="s">
        <v>50</v>
      </c>
      <c r="D18" s="8" t="s">
        <v>48</v>
      </c>
    </row>
    <row r="19" customFormat="false" ht="15" hidden="false" customHeight="false" outlineLevel="0" collapsed="false">
      <c r="A19" s="8" t="s">
        <v>54</v>
      </c>
      <c r="B19" s="9" t="n">
        <v>7856</v>
      </c>
      <c r="C19" s="8" t="s">
        <v>50</v>
      </c>
      <c r="D19" s="8" t="s">
        <v>48</v>
      </c>
    </row>
    <row r="20" customFormat="false" ht="15" hidden="false" customHeight="false" outlineLevel="0" collapsed="false">
      <c r="A20" s="8" t="s">
        <v>55</v>
      </c>
      <c r="B20" s="9" t="n">
        <v>9477</v>
      </c>
      <c r="C20" s="8" t="s">
        <v>50</v>
      </c>
      <c r="D20" s="8" t="s">
        <v>48</v>
      </c>
    </row>
    <row r="21" customFormat="false" ht="15" hidden="false" customHeight="false" outlineLevel="0" collapsed="false">
      <c r="A21" s="8" t="s">
        <v>56</v>
      </c>
      <c r="B21" s="9" t="n">
        <v>13036</v>
      </c>
      <c r="C21" s="8" t="s">
        <v>50</v>
      </c>
      <c r="D21" s="8" t="s">
        <v>48</v>
      </c>
    </row>
    <row r="22" customFormat="false" ht="15" hidden="false" customHeight="false" outlineLevel="0" collapsed="false">
      <c r="A22" s="8" t="s">
        <v>57</v>
      </c>
      <c r="B22" s="9" t="n">
        <v>37577</v>
      </c>
      <c r="C22" s="8" t="s">
        <v>50</v>
      </c>
      <c r="D22" s="8" t="s">
        <v>48</v>
      </c>
    </row>
    <row r="23" customFormat="false" ht="15" hidden="false" customHeight="false" outlineLevel="0" collapsed="false">
      <c r="A23" s="8" t="s">
        <v>58</v>
      </c>
      <c r="B23" s="9" t="n">
        <v>2000</v>
      </c>
      <c r="C23" s="8" t="s">
        <v>59</v>
      </c>
      <c r="D23" s="8" t="s">
        <v>60</v>
      </c>
    </row>
    <row r="24" customFormat="false" ht="15" hidden="false" customHeight="false" outlineLevel="0" collapsed="false">
      <c r="A24" s="8" t="s">
        <v>61</v>
      </c>
      <c r="B24" s="9" t="n">
        <v>9581</v>
      </c>
      <c r="C24" s="8" t="s">
        <v>62</v>
      </c>
      <c r="D24" s="8" t="s">
        <v>63</v>
      </c>
    </row>
    <row r="26" customFormat="false" ht="15" hidden="false" customHeight="false" outlineLevel="0" collapsed="false">
      <c r="A26" s="6" t="s">
        <v>64</v>
      </c>
    </row>
    <row r="27" customFormat="false" ht="23.85" hidden="false" customHeight="false" outlineLevel="0" collapsed="false">
      <c r="A27" s="7" t="s">
        <v>65</v>
      </c>
      <c r="B27" s="7" t="s">
        <v>66</v>
      </c>
      <c r="C27" s="7" t="s">
        <v>67</v>
      </c>
      <c r="D27" s="7" t="s">
        <v>68</v>
      </c>
      <c r="E27" s="7" t="s">
        <v>69</v>
      </c>
    </row>
    <row r="28" customFormat="false" ht="15" hidden="false" customHeight="false" outlineLevel="0" collapsed="false">
      <c r="A28" s="8" t="s">
        <v>70</v>
      </c>
      <c r="B28" s="9" t="n">
        <f aca="false">COUNTIFS(Projects!$G:$G,A28)</f>
        <v>44</v>
      </c>
      <c r="C28" s="9" t="n">
        <f aca="false">SUMIFS(Projects!$J:$J,Projects!$G:$G,A28)</f>
        <v>6022</v>
      </c>
      <c r="D28" s="9" t="n">
        <f aca="false">SUMIFS(Projects!$K:$K,Projects!$G:$G,A28)</f>
        <v>3142</v>
      </c>
      <c r="E28" s="10" t="n">
        <f aca="false">IF(C34=0,0,C28/C34)</f>
        <v>0.0657947927933834</v>
      </c>
    </row>
    <row r="29" customFormat="false" ht="15" hidden="false" customHeight="false" outlineLevel="0" collapsed="false">
      <c r="A29" s="8" t="s">
        <v>71</v>
      </c>
      <c r="B29" s="9" t="n">
        <f aca="false">COUNTIFS(Projects!$G:$G,A29)</f>
        <v>35</v>
      </c>
      <c r="C29" s="9" t="n">
        <f aca="false">SUMIFS(Projects!$J:$J,Projects!$G:$G,A29)</f>
        <v>3544</v>
      </c>
      <c r="D29" s="9" t="n">
        <f aca="false">SUMIFS(Projects!$K:$K,Projects!$G:$G,A29)</f>
        <v>2555</v>
      </c>
      <c r="E29" s="10" t="n">
        <f aca="false">IF(C34=0,0,C29/C34)</f>
        <v>0.0387208146230074</v>
      </c>
    </row>
    <row r="30" customFormat="false" ht="15" hidden="false" customHeight="false" outlineLevel="0" collapsed="false">
      <c r="A30" s="8" t="s">
        <v>72</v>
      </c>
      <c r="B30" s="9" t="n">
        <f aca="false">COUNTIFS(Projects!$G:$G,A30)</f>
        <v>36</v>
      </c>
      <c r="C30" s="9" t="n">
        <f aca="false">SUMIFS(Projects!$J:$J,Projects!$G:$G,A30)</f>
        <v>3127</v>
      </c>
      <c r="D30" s="9" t="n">
        <f aca="false">SUMIFS(Projects!$K:$K,Projects!$G:$G,A30)</f>
        <v>1135</v>
      </c>
      <c r="E30" s="10" t="n">
        <f aca="false">IF(C34=0,0,C30/C34)</f>
        <v>0.034164781976903</v>
      </c>
    </row>
    <row r="31" customFormat="false" ht="15" hidden="false" customHeight="false" outlineLevel="0" collapsed="false">
      <c r="A31" s="8" t="s">
        <v>73</v>
      </c>
      <c r="B31" s="9" t="n">
        <f aca="false">COUNTIFS(Projects!$G:$G,A31)</f>
        <v>100</v>
      </c>
      <c r="C31" s="9" t="n">
        <f aca="false">SUMIFS(Projects!$J:$J,Projects!$G:$G,A31)</f>
        <v>29126</v>
      </c>
      <c r="D31" s="9" t="n">
        <f aca="false">SUMIFS(Projects!$K:$K,Projects!$G:$G,A31)</f>
        <v>4375</v>
      </c>
      <c r="E31" s="10" t="n">
        <f aca="false">IF(C34=0,0,C31/C34)</f>
        <v>0.318223038010642</v>
      </c>
    </row>
    <row r="32" customFormat="false" ht="15" hidden="false" customHeight="false" outlineLevel="0" collapsed="false">
      <c r="A32" s="8" t="s">
        <v>74</v>
      </c>
      <c r="B32" s="9" t="n">
        <f aca="false">COUNTIFS(Projects!$G:$G,A32)</f>
        <v>36</v>
      </c>
      <c r="C32" s="9" t="n">
        <f aca="false">SUMIFS(Projects!$J:$J,Projects!$G:$G,A32)</f>
        <v>9229</v>
      </c>
      <c r="D32" s="9" t="n">
        <f aca="false">SUMIFS(Projects!$K:$K,Projects!$G:$G,A32)</f>
        <v>3656</v>
      </c>
      <c r="E32" s="10" t="n">
        <f aca="false">IF(C34=0,0,C32/C34)</f>
        <v>0.100833633791122</v>
      </c>
    </row>
    <row r="33" customFormat="false" ht="15" hidden="false" customHeight="false" outlineLevel="0" collapsed="false">
      <c r="A33" s="8" t="s">
        <v>75</v>
      </c>
      <c r="B33" s="9" t="n">
        <f aca="false">COUNTIFS(Projects!$G:$G,A33)</f>
        <v>14</v>
      </c>
      <c r="C33" s="9" t="n">
        <f aca="false">SUMIFS(Projects!$J:$J,Projects!$G:$G,A33)</f>
        <v>40479</v>
      </c>
      <c r="D33" s="9" t="n">
        <f aca="false">SUMIFS(Projects!$K:$K,Projects!$G:$G,A33)</f>
        <v>0</v>
      </c>
      <c r="E33" s="10" t="n">
        <f aca="false">IF(C34=0,0,C33/C34)</f>
        <v>0.442262938804943</v>
      </c>
    </row>
    <row r="34" customFormat="false" ht="15" hidden="false" customHeight="false" outlineLevel="0" collapsed="false">
      <c r="A34" s="6" t="s">
        <v>76</v>
      </c>
      <c r="B34" s="11" t="n">
        <f aca="false">SUM(B28:B33)</f>
        <v>265</v>
      </c>
      <c r="C34" s="11" t="n">
        <f aca="false">SUM(C28:C33)</f>
        <v>91527</v>
      </c>
      <c r="D34" s="11" t="n">
        <f aca="false">SUM(D28:D33)</f>
        <v>14863</v>
      </c>
      <c r="E34" s="12" t="n">
        <v>1</v>
      </c>
    </row>
    <row r="35" customFormat="false" ht="15" hidden="false" customHeight="false" outlineLevel="0" collapsed="false">
      <c r="A35" s="5" t="s">
        <v>77</v>
      </c>
    </row>
    <row r="37" customFormat="false" ht="15" hidden="false" customHeight="false" outlineLevel="0" collapsed="false">
      <c r="A37" s="6" t="s">
        <v>78</v>
      </c>
    </row>
    <row r="38" customFormat="false" ht="23.85" hidden="false" customHeight="false" outlineLevel="0" collapsed="false">
      <c r="A38" s="7" t="s">
        <v>79</v>
      </c>
      <c r="B38" s="7" t="s">
        <v>70</v>
      </c>
      <c r="C38" s="7" t="s">
        <v>71</v>
      </c>
      <c r="D38" s="7" t="s">
        <v>72</v>
      </c>
      <c r="E38" s="7" t="s">
        <v>73</v>
      </c>
      <c r="F38" s="7" t="s">
        <v>74</v>
      </c>
      <c r="G38" s="7" t="s">
        <v>75</v>
      </c>
      <c r="H38" s="7" t="s">
        <v>80</v>
      </c>
    </row>
    <row r="39" customFormat="false" ht="15" hidden="false" customHeight="false" outlineLevel="0" collapsed="false">
      <c r="A39" s="8" t="s">
        <v>81</v>
      </c>
      <c r="B39" s="9" t="n">
        <f aca="false">SUMIFS(Projects!$J:$J,Projects!$M:$M,$A39,Projects!$G:$G,"Complete")</f>
        <v>0</v>
      </c>
      <c r="C39" s="9" t="n">
        <f aca="false">SUMIFS(Projects!$J:$J,Projects!$M:$M,$A39,Projects!$G:$G,"Under Construction")</f>
        <v>0</v>
      </c>
      <c r="D39" s="9" t="n">
        <f aca="false">SUMIFS(Projects!$J:$J,Projects!$M:$M,$A39,Projects!$G:$G,"Permitted")</f>
        <v>0</v>
      </c>
      <c r="E39" s="9" t="n">
        <f aca="false">SUMIFS(Projects!$J:$J,Projects!$M:$M,$A39,Projects!$G:$G,"Approved")</f>
        <v>0</v>
      </c>
      <c r="F39" s="9" t="n">
        <f aca="false">SUMIFS(Projects!$J:$J,Projects!$M:$M,$A39,Projects!$G:$G,"Under Review")</f>
        <v>0</v>
      </c>
      <c r="G39" s="9" t="n">
        <f aca="false">SUMIFS(Projects!$J:$J,Projects!$M:$M,$A39,Projects!$G:$G,"Major Multi-Phase (remaining)")</f>
        <v>0</v>
      </c>
      <c r="H39" s="9" t="n">
        <f aca="false">SUM(B39:G39)</f>
        <v>0</v>
      </c>
    </row>
    <row r="40" customFormat="false" ht="15" hidden="false" customHeight="false" outlineLevel="0" collapsed="false">
      <c r="A40" s="8" t="s">
        <v>82</v>
      </c>
      <c r="B40" s="9" t="n">
        <f aca="false">SUMIFS(Projects!$J:$J,Projects!$M:$M,$A40,Projects!$G:$G,"Complete")</f>
        <v>0</v>
      </c>
      <c r="C40" s="9" t="n">
        <f aca="false">SUMIFS(Projects!$J:$J,Projects!$M:$M,$A40,Projects!$G:$G,"Under Construction")</f>
        <v>0</v>
      </c>
      <c r="D40" s="9" t="n">
        <f aca="false">SUMIFS(Projects!$J:$J,Projects!$M:$M,$A40,Projects!$G:$G,"Permitted")</f>
        <v>18</v>
      </c>
      <c r="E40" s="9" t="n">
        <f aca="false">SUMIFS(Projects!$J:$J,Projects!$M:$M,$A40,Projects!$G:$G,"Approved")</f>
        <v>0</v>
      </c>
      <c r="F40" s="9" t="n">
        <f aca="false">SUMIFS(Projects!$J:$J,Projects!$M:$M,$A40,Projects!$G:$G,"Under Review")</f>
        <v>5</v>
      </c>
      <c r="G40" s="9" t="n">
        <f aca="false">SUMIFS(Projects!$J:$J,Projects!$M:$M,$A40,Projects!$G:$G,"Major Multi-Phase (remaining)")</f>
        <v>0</v>
      </c>
      <c r="H40" s="9" t="n">
        <f aca="false">SUM(B40:G40)</f>
        <v>23</v>
      </c>
    </row>
    <row r="41" customFormat="false" ht="15" hidden="false" customHeight="false" outlineLevel="0" collapsed="false">
      <c r="A41" s="8" t="s">
        <v>83</v>
      </c>
      <c r="B41" s="9" t="n">
        <f aca="false">SUMIFS(Projects!$J:$J,Projects!$M:$M,$A41,Projects!$G:$G,"Complete")</f>
        <v>46</v>
      </c>
      <c r="C41" s="9" t="n">
        <f aca="false">SUMIFS(Projects!$J:$J,Projects!$M:$M,$A41,Projects!$G:$G,"Under Construction")</f>
        <v>20</v>
      </c>
      <c r="D41" s="9" t="n">
        <f aca="false">SUMIFS(Projects!$J:$J,Projects!$M:$M,$A41,Projects!$G:$G,"Permitted")</f>
        <v>86</v>
      </c>
      <c r="E41" s="9" t="n">
        <f aca="false">SUMIFS(Projects!$J:$J,Projects!$M:$M,$A41,Projects!$G:$G,"Approved")</f>
        <v>162</v>
      </c>
      <c r="F41" s="9" t="n">
        <f aca="false">SUMIFS(Projects!$J:$J,Projects!$M:$M,$A41,Projects!$G:$G,"Under Review")</f>
        <v>0</v>
      </c>
      <c r="G41" s="9" t="n">
        <f aca="false">SUMIFS(Projects!$J:$J,Projects!$M:$M,$A41,Projects!$G:$G,"Major Multi-Phase (remaining)")</f>
        <v>0</v>
      </c>
      <c r="H41" s="9" t="n">
        <f aca="false">SUM(B41:G41)</f>
        <v>314</v>
      </c>
    </row>
    <row r="42" customFormat="false" ht="15" hidden="false" customHeight="false" outlineLevel="0" collapsed="false">
      <c r="A42" s="8" t="s">
        <v>84</v>
      </c>
      <c r="B42" s="9" t="n">
        <f aca="false">SUMIFS(Projects!$J:$J,Projects!$M:$M,$A42,Projects!$G:$G,"Complete")</f>
        <v>246</v>
      </c>
      <c r="C42" s="9" t="n">
        <f aca="false">SUMIFS(Projects!$J:$J,Projects!$M:$M,$A42,Projects!$G:$G,"Under Construction")</f>
        <v>232</v>
      </c>
      <c r="D42" s="9" t="n">
        <f aca="false">SUMIFS(Projects!$J:$J,Projects!$M:$M,$A42,Projects!$G:$G,"Permitted")</f>
        <v>329</v>
      </c>
      <c r="E42" s="9" t="n">
        <f aca="false">SUMIFS(Projects!$J:$J,Projects!$M:$M,$A42,Projects!$G:$G,"Approved")</f>
        <v>838</v>
      </c>
      <c r="F42" s="9" t="n">
        <f aca="false">SUMIFS(Projects!$J:$J,Projects!$M:$M,$A42,Projects!$G:$G,"Under Review")</f>
        <v>131</v>
      </c>
      <c r="G42" s="9" t="n">
        <f aca="false">SUMIFS(Projects!$J:$J,Projects!$M:$M,$A42,Projects!$G:$G,"Major Multi-Phase (remaining)")</f>
        <v>0</v>
      </c>
      <c r="H42" s="9" t="n">
        <f aca="false">SUM(B42:G42)</f>
        <v>1776</v>
      </c>
    </row>
    <row r="43" customFormat="false" ht="15" hidden="false" customHeight="false" outlineLevel="0" collapsed="false">
      <c r="A43" s="8" t="s">
        <v>85</v>
      </c>
      <c r="B43" s="9" t="n">
        <f aca="false">SUMIFS(Projects!$J:$J,Projects!$M:$M,$A43,Projects!$G:$G,"Complete")</f>
        <v>3644</v>
      </c>
      <c r="C43" s="9" t="n">
        <f aca="false">SUMIFS(Projects!$J:$J,Projects!$M:$M,$A43,Projects!$G:$G,"Under Construction")</f>
        <v>2564</v>
      </c>
      <c r="D43" s="9" t="n">
        <f aca="false">SUMIFS(Projects!$J:$J,Projects!$M:$M,$A43,Projects!$G:$G,"Permitted")</f>
        <v>1541</v>
      </c>
      <c r="E43" s="9" t="n">
        <f aca="false">SUMIFS(Projects!$J:$J,Projects!$M:$M,$A43,Projects!$G:$G,"Approved")</f>
        <v>5471</v>
      </c>
      <c r="F43" s="9" t="n">
        <f aca="false">SUMIFS(Projects!$J:$J,Projects!$M:$M,$A43,Projects!$G:$G,"Under Review")</f>
        <v>2642</v>
      </c>
      <c r="G43" s="9" t="n">
        <f aca="false">SUMIFS(Projects!$J:$J,Projects!$M:$M,$A43,Projects!$G:$G,"Major Multi-Phase (remaining)")</f>
        <v>0</v>
      </c>
      <c r="H43" s="9" t="n">
        <f aca="false">SUM(B43:G43)</f>
        <v>15862</v>
      </c>
    </row>
    <row r="44" customFormat="false" ht="15" hidden="false" customHeight="false" outlineLevel="0" collapsed="false">
      <c r="A44" s="8" t="s">
        <v>86</v>
      </c>
      <c r="B44" s="9" t="n">
        <f aca="false">SUMIFS(Projects!$J:$J,Projects!$M:$M,$A44,Projects!$G:$G,"Complete")</f>
        <v>2086</v>
      </c>
      <c r="C44" s="9" t="n">
        <f aca="false">SUMIFS(Projects!$J:$J,Projects!$M:$M,$A44,Projects!$G:$G,"Under Construction")</f>
        <v>728</v>
      </c>
      <c r="D44" s="9" t="n">
        <f aca="false">SUMIFS(Projects!$J:$J,Projects!$M:$M,$A44,Projects!$G:$G,"Permitted")</f>
        <v>1153</v>
      </c>
      <c r="E44" s="9" t="n">
        <f aca="false">SUMIFS(Projects!$J:$J,Projects!$M:$M,$A44,Projects!$G:$G,"Approved")</f>
        <v>22655</v>
      </c>
      <c r="F44" s="9" t="n">
        <f aca="false">SUMIFS(Projects!$J:$J,Projects!$M:$M,$A44,Projects!$G:$G,"Under Review")</f>
        <v>6451</v>
      </c>
      <c r="G44" s="9" t="n">
        <f aca="false">SUMIFS(Projects!$J:$J,Projects!$M:$M,$A44,Projects!$G:$G,"Major Multi-Phase (remaining)")</f>
        <v>40479</v>
      </c>
      <c r="H44" s="9" t="n">
        <f aca="false">SUM(B44:G44)</f>
        <v>73552</v>
      </c>
    </row>
    <row r="45" customFormat="false" ht="15" hidden="false" customHeight="false" outlineLevel="0" collapsed="false">
      <c r="A45" s="6" t="s">
        <v>87</v>
      </c>
      <c r="B45" s="11" t="n">
        <f aca="false">SUM(B39:B44)</f>
        <v>6022</v>
      </c>
      <c r="C45" s="11" t="n">
        <f aca="false">SUM(C39:C44)</f>
        <v>3544</v>
      </c>
      <c r="D45" s="11" t="n">
        <f aca="false">SUM(D39:D44)</f>
        <v>3127</v>
      </c>
      <c r="E45" s="11" t="n">
        <f aca="false">SUM(E39:E44)</f>
        <v>29126</v>
      </c>
      <c r="F45" s="11" t="n">
        <f aca="false">SUM(F39:F44)</f>
        <v>9229</v>
      </c>
      <c r="G45" s="11" t="n">
        <f aca="false">SUM(G39:G44)</f>
        <v>40479</v>
      </c>
      <c r="H45" s="11" t="n">
        <f aca="false">SUM(H39:H44)</f>
        <v>91527</v>
      </c>
    </row>
    <row r="47" customFormat="false" ht="15" hidden="false" customHeight="false" outlineLevel="0" collapsed="false">
      <c r="A47" s="6" t="s">
        <v>88</v>
      </c>
    </row>
    <row r="48" customFormat="false" ht="23.85" hidden="false" customHeight="false" outlineLevel="0" collapsed="false">
      <c r="A48" s="7" t="s">
        <v>79</v>
      </c>
      <c r="B48" s="7" t="s">
        <v>70</v>
      </c>
      <c r="C48" s="7" t="s">
        <v>71</v>
      </c>
      <c r="D48" s="7" t="s">
        <v>72</v>
      </c>
      <c r="E48" s="7" t="s">
        <v>73</v>
      </c>
      <c r="F48" s="7" t="s">
        <v>74</v>
      </c>
      <c r="G48" s="7" t="s">
        <v>75</v>
      </c>
      <c r="H48" s="7" t="s">
        <v>80</v>
      </c>
    </row>
    <row r="49" customFormat="false" ht="15" hidden="false" customHeight="false" outlineLevel="0" collapsed="false">
      <c r="A49" s="8" t="s">
        <v>81</v>
      </c>
      <c r="B49" s="9" t="n">
        <f aca="false">COUNTIFS(Projects!$M:$M,$A49,Projects!$G:$G,"Complete")</f>
        <v>0</v>
      </c>
      <c r="C49" s="9" t="n">
        <f aca="false">COUNTIFS(Projects!$M:$M,$A49,Projects!$G:$G,"Under Construction")</f>
        <v>0</v>
      </c>
      <c r="D49" s="9" t="n">
        <f aca="false">COUNTIFS(Projects!$M:$M,$A49,Projects!$G:$G,"Permitted")</f>
        <v>0</v>
      </c>
      <c r="E49" s="9" t="n">
        <f aca="false">COUNTIFS(Projects!$M:$M,$A49,Projects!$G:$G,"Approved")</f>
        <v>0</v>
      </c>
      <c r="F49" s="9" t="n">
        <f aca="false">COUNTIFS(Projects!$M:$M,$A49,Projects!$G:$G,"Under Review")</f>
        <v>0</v>
      </c>
      <c r="G49" s="9" t="n">
        <f aca="false">COUNTIFS(Projects!$M:$M,$A49,Projects!$G:$G,"Major Multi-Phase (remaining)")</f>
        <v>0</v>
      </c>
      <c r="H49" s="9" t="n">
        <f aca="false">SUM(B49:G49)</f>
        <v>0</v>
      </c>
    </row>
    <row r="50" customFormat="false" ht="15" hidden="false" customHeight="false" outlineLevel="0" collapsed="false">
      <c r="A50" s="8" t="s">
        <v>82</v>
      </c>
      <c r="B50" s="9" t="n">
        <f aca="false">COUNTIFS(Projects!$M:$M,$A50,Projects!$G:$G,"Complete")</f>
        <v>0</v>
      </c>
      <c r="C50" s="9" t="n">
        <f aca="false">COUNTIFS(Projects!$M:$M,$A50,Projects!$G:$G,"Under Construction")</f>
        <v>0</v>
      </c>
      <c r="D50" s="9" t="n">
        <f aca="false">COUNTIFS(Projects!$M:$M,$A50,Projects!$G:$G,"Permitted")</f>
        <v>2</v>
      </c>
      <c r="E50" s="9" t="n">
        <f aca="false">COUNTIFS(Projects!$M:$M,$A50,Projects!$G:$G,"Approved")</f>
        <v>0</v>
      </c>
      <c r="F50" s="9" t="n">
        <f aca="false">COUNTIFS(Projects!$M:$M,$A50,Projects!$G:$G,"Under Review")</f>
        <v>1</v>
      </c>
      <c r="G50" s="9" t="n">
        <f aca="false">COUNTIFS(Projects!$M:$M,$A50,Projects!$G:$G,"Major Multi-Phase (remaining)")</f>
        <v>0</v>
      </c>
      <c r="H50" s="9" t="n">
        <f aca="false">SUM(B50:G50)</f>
        <v>3</v>
      </c>
    </row>
    <row r="51" customFormat="false" ht="15" hidden="false" customHeight="false" outlineLevel="0" collapsed="false">
      <c r="A51" s="8" t="s">
        <v>83</v>
      </c>
      <c r="B51" s="9" t="n">
        <f aca="false">COUNTIFS(Projects!$M:$M,$A51,Projects!$G:$G,"Complete")</f>
        <v>3</v>
      </c>
      <c r="C51" s="9" t="n">
        <f aca="false">COUNTIFS(Projects!$M:$M,$A51,Projects!$G:$G,"Under Construction")</f>
        <v>1</v>
      </c>
      <c r="D51" s="9" t="n">
        <f aca="false">COUNTIFS(Projects!$M:$M,$A51,Projects!$G:$G,"Permitted")</f>
        <v>5</v>
      </c>
      <c r="E51" s="9" t="n">
        <f aca="false">COUNTIFS(Projects!$M:$M,$A51,Projects!$G:$G,"Approved")</f>
        <v>10</v>
      </c>
      <c r="F51" s="9" t="n">
        <f aca="false">COUNTIFS(Projects!$M:$M,$A51,Projects!$G:$G,"Under Review")</f>
        <v>0</v>
      </c>
      <c r="G51" s="9" t="n">
        <f aca="false">COUNTIFS(Projects!$M:$M,$A51,Projects!$G:$G,"Major Multi-Phase (remaining)")</f>
        <v>0</v>
      </c>
      <c r="H51" s="9" t="n">
        <f aca="false">SUM(B51:G51)</f>
        <v>19</v>
      </c>
    </row>
    <row r="52" customFormat="false" ht="15" hidden="false" customHeight="false" outlineLevel="0" collapsed="false">
      <c r="A52" s="8" t="s">
        <v>84</v>
      </c>
      <c r="B52" s="9" t="n">
        <f aca="false">COUNTIFS(Projects!$M:$M,$A52,Projects!$G:$G,"Complete")</f>
        <v>7</v>
      </c>
      <c r="C52" s="9" t="n">
        <f aca="false">COUNTIFS(Projects!$M:$M,$A52,Projects!$G:$G,"Under Construction")</f>
        <v>7</v>
      </c>
      <c r="D52" s="9" t="n">
        <f aca="false">COUNTIFS(Projects!$M:$M,$A52,Projects!$G:$G,"Permitted")</f>
        <v>10</v>
      </c>
      <c r="E52" s="9" t="n">
        <f aca="false">COUNTIFS(Projects!$M:$M,$A52,Projects!$G:$G,"Approved")</f>
        <v>27</v>
      </c>
      <c r="F52" s="9" t="n">
        <f aca="false">COUNTIFS(Projects!$M:$M,$A52,Projects!$G:$G,"Under Review")</f>
        <v>4</v>
      </c>
      <c r="G52" s="9" t="n">
        <f aca="false">COUNTIFS(Projects!$M:$M,$A52,Projects!$G:$G,"Major Multi-Phase (remaining)")</f>
        <v>0</v>
      </c>
      <c r="H52" s="9" t="n">
        <f aca="false">SUM(B52:G52)</f>
        <v>55</v>
      </c>
    </row>
    <row r="53" customFormat="false" ht="15" hidden="false" customHeight="false" outlineLevel="0" collapsed="false">
      <c r="A53" s="8" t="s">
        <v>85</v>
      </c>
      <c r="B53" s="9" t="n">
        <f aca="false">COUNTIFS(Projects!$M:$M,$A53,Projects!$G:$G,"Complete")</f>
        <v>29</v>
      </c>
      <c r="C53" s="9" t="n">
        <f aca="false">COUNTIFS(Projects!$M:$M,$A53,Projects!$G:$G,"Under Construction")</f>
        <v>25</v>
      </c>
      <c r="D53" s="9" t="n">
        <f aca="false">COUNTIFS(Projects!$M:$M,$A53,Projects!$G:$G,"Permitted")</f>
        <v>15</v>
      </c>
      <c r="E53" s="9" t="n">
        <f aca="false">COUNTIFS(Projects!$M:$M,$A53,Projects!$G:$G,"Approved")</f>
        <v>43</v>
      </c>
      <c r="F53" s="9" t="n">
        <f aca="false">COUNTIFS(Projects!$M:$M,$A53,Projects!$G:$G,"Under Review")</f>
        <v>21</v>
      </c>
      <c r="G53" s="9" t="n">
        <f aca="false">COUNTIFS(Projects!$M:$M,$A53,Projects!$G:$G,"Major Multi-Phase (remaining)")</f>
        <v>0</v>
      </c>
      <c r="H53" s="9" t="n">
        <f aca="false">SUM(B53:G53)</f>
        <v>133</v>
      </c>
    </row>
    <row r="54" customFormat="false" ht="15" hidden="false" customHeight="false" outlineLevel="0" collapsed="false">
      <c r="A54" s="8" t="s">
        <v>86</v>
      </c>
      <c r="B54" s="9" t="n">
        <f aca="false">COUNTIFS(Projects!$M:$M,$A54,Projects!$G:$G,"Complete")</f>
        <v>5</v>
      </c>
      <c r="C54" s="9" t="n">
        <f aca="false">COUNTIFS(Projects!$M:$M,$A54,Projects!$G:$G,"Under Construction")</f>
        <v>2</v>
      </c>
      <c r="D54" s="9" t="n">
        <f aca="false">COUNTIFS(Projects!$M:$M,$A54,Projects!$G:$G,"Permitted")</f>
        <v>4</v>
      </c>
      <c r="E54" s="9" t="n">
        <f aca="false">COUNTIFS(Projects!$M:$M,$A54,Projects!$G:$G,"Approved")</f>
        <v>20</v>
      </c>
      <c r="F54" s="9" t="n">
        <f aca="false">COUNTIFS(Projects!$M:$M,$A54,Projects!$G:$G,"Under Review")</f>
        <v>10</v>
      </c>
      <c r="G54" s="9" t="n">
        <f aca="false">COUNTIFS(Projects!$M:$M,$A54,Projects!$G:$G,"Major Multi-Phase (remaining)")</f>
        <v>14</v>
      </c>
      <c r="H54" s="9" t="n">
        <f aca="false">SUM(B54:G54)</f>
        <v>55</v>
      </c>
    </row>
    <row r="55" customFormat="false" ht="15" hidden="false" customHeight="false" outlineLevel="0" collapsed="false">
      <c r="A55" s="6" t="s">
        <v>87</v>
      </c>
      <c r="B55" s="11" t="n">
        <f aca="false">SUM(B49:B54)</f>
        <v>44</v>
      </c>
      <c r="C55" s="11" t="n">
        <f aca="false">SUM(C49:C54)</f>
        <v>35</v>
      </c>
      <c r="D55" s="11" t="n">
        <f aca="false">SUM(D49:D54)</f>
        <v>36</v>
      </c>
      <c r="E55" s="11" t="n">
        <f aca="false">SUM(E49:E54)</f>
        <v>100</v>
      </c>
      <c r="F55" s="11" t="n">
        <f aca="false">SUM(F49:F54)</f>
        <v>36</v>
      </c>
      <c r="G55" s="11" t="n">
        <f aca="false">SUM(G49:G54)</f>
        <v>14</v>
      </c>
      <c r="H55" s="11" t="n">
        <f aca="false">SUM(H49:H54)</f>
        <v>265</v>
      </c>
    </row>
    <row r="57" customFormat="false" ht="15" hidden="false" customHeight="false" outlineLevel="0" collapsed="false">
      <c r="A57" s="6" t="s">
        <v>89</v>
      </c>
    </row>
    <row r="58" customFormat="false" ht="35.05" hidden="false" customHeight="false" outlineLevel="0" collapsed="false">
      <c r="A58" s="7" t="s">
        <v>90</v>
      </c>
      <c r="B58" s="7" t="s">
        <v>66</v>
      </c>
      <c r="C58" s="7" t="s">
        <v>91</v>
      </c>
      <c r="D58" s="7" t="s">
        <v>92</v>
      </c>
      <c r="E58" s="7" t="s">
        <v>93</v>
      </c>
      <c r="F58" s="7" t="s">
        <v>94</v>
      </c>
    </row>
    <row r="59" customFormat="false" ht="15" hidden="false" customHeight="false" outlineLevel="0" collapsed="false">
      <c r="A59" s="8" t="n">
        <v>2023</v>
      </c>
      <c r="B59" s="9" t="n">
        <f aca="false">COUNTIFS(Projects!$X:$X,A59)</f>
        <v>15</v>
      </c>
      <c r="C59" s="9" t="n">
        <f aca="false">SUMIFS(Projects!$J:$J,Projects!$X:$X,A59)</f>
        <v>2209</v>
      </c>
      <c r="D59" s="9" t="n">
        <f aca="false">SUMIFS(Projects!$K:$K,Projects!$X:$X,A59)</f>
        <v>619</v>
      </c>
      <c r="E59" s="9" t="n">
        <v>2059</v>
      </c>
      <c r="F59" s="9" t="n">
        <v>946</v>
      </c>
    </row>
    <row r="60" customFormat="false" ht="15" hidden="false" customHeight="false" outlineLevel="0" collapsed="false">
      <c r="A60" s="8" t="n">
        <v>2024</v>
      </c>
      <c r="B60" s="9" t="n">
        <f aca="false">COUNTIFS(Projects!$X:$X,A60)</f>
        <v>8</v>
      </c>
      <c r="C60" s="9" t="n">
        <f aca="false">SUMIFS(Projects!$J:$J,Projects!$X:$X,A60)</f>
        <v>1371</v>
      </c>
      <c r="D60" s="9" t="n">
        <f aca="false">SUMIFS(Projects!$K:$K,Projects!$X:$X,A60)</f>
        <v>903</v>
      </c>
      <c r="E60" s="9" t="n">
        <v>1457</v>
      </c>
      <c r="F60" s="9" t="n">
        <v>1115</v>
      </c>
    </row>
    <row r="61" customFormat="false" ht="15" hidden="false" customHeight="false" outlineLevel="0" collapsed="false">
      <c r="A61" s="8" t="n">
        <v>2025</v>
      </c>
      <c r="B61" s="9" t="n">
        <f aca="false">COUNTIFS(Projects!$X:$X,A61)</f>
        <v>21</v>
      </c>
      <c r="C61" s="9" t="n">
        <f aca="false">SUMIFS(Projects!$J:$J,Projects!$X:$X,A61)</f>
        <v>2442</v>
      </c>
      <c r="D61" s="9" t="n">
        <f aca="false">SUMIFS(Projects!$K:$K,Projects!$X:$X,A61)</f>
        <v>1620</v>
      </c>
      <c r="E61" s="9" t="n">
        <v>2406</v>
      </c>
      <c r="F61" s="9" t="n">
        <v>1758</v>
      </c>
    </row>
    <row r="62" customFormat="false" ht="15" hidden="false" customHeight="false" outlineLevel="0" collapsed="false">
      <c r="A62" s="8" t="n">
        <v>2026</v>
      </c>
      <c r="B62" s="9" t="n">
        <f aca="false">COUNTIFS(Projects!$X:$X,A62)</f>
        <v>2</v>
      </c>
      <c r="C62" s="9" t="n">
        <f aca="false">SUMIFS(Projects!$J:$J,Projects!$X:$X,A62)</f>
        <v>273</v>
      </c>
      <c r="D62" s="9" t="n">
        <f aca="false">SUMIFS(Projects!$K:$K,Projects!$X:$X,A62)</f>
        <v>271</v>
      </c>
      <c r="E62" s="9" t="n">
        <v>405</v>
      </c>
      <c r="F62" s="9"/>
    </row>
    <row r="63" customFormat="false" ht="15" hidden="false" customHeight="false" outlineLevel="0" collapsed="false">
      <c r="A63" s="5" t="s">
        <v>95</v>
      </c>
    </row>
    <row r="65" customFormat="false" ht="15" hidden="false" customHeight="false" outlineLevel="0" collapsed="false">
      <c r="A65" s="6" t="s">
        <v>96</v>
      </c>
    </row>
    <row r="66" customFormat="false" ht="15" hidden="false" customHeight="false" outlineLevel="0" collapsed="false">
      <c r="A66" s="7" t="s">
        <v>97</v>
      </c>
      <c r="B66" s="7" t="s">
        <v>66</v>
      </c>
      <c r="C66" s="7" t="s">
        <v>67</v>
      </c>
      <c r="D66" s="7" t="s">
        <v>68</v>
      </c>
    </row>
    <row r="67" customFormat="false" ht="15" hidden="false" customHeight="false" outlineLevel="0" collapsed="false">
      <c r="A67" s="8" t="s">
        <v>98</v>
      </c>
      <c r="B67" s="9" t="n">
        <f aca="false">COUNTIFS(Projects!$E:$E,A67,Projects!$G:$G,"&lt;&gt;Complete")</f>
        <v>1</v>
      </c>
      <c r="C67" s="9" t="n">
        <f aca="false">SUMIFS(Projects!$J:$J,Projects!$E:$E,A67,Projects!$G:$G,"&lt;&gt;Complete")</f>
        <v>102</v>
      </c>
      <c r="D67" s="9" t="n">
        <f aca="false">SUMIFS(Projects!$K:$K,Projects!$E:$E,A67,Projects!$G:$G,"&lt;&gt;Complete")</f>
        <v>101</v>
      </c>
    </row>
    <row r="68" customFormat="false" ht="15" hidden="false" customHeight="false" outlineLevel="0" collapsed="false">
      <c r="A68" s="8" t="s">
        <v>99</v>
      </c>
      <c r="B68" s="9" t="n">
        <f aca="false">COUNTIFS(Projects!$E:$E,A68,Projects!$G:$G,"&lt;&gt;Complete")</f>
        <v>9</v>
      </c>
      <c r="C68" s="9" t="n">
        <f aca="false">SUMIFS(Projects!$J:$J,Projects!$E:$E,A68,Projects!$G:$G,"&lt;&gt;Complete")</f>
        <v>1372</v>
      </c>
      <c r="D68" s="9" t="n">
        <f aca="false">SUMIFS(Projects!$K:$K,Projects!$E:$E,A68,Projects!$G:$G,"&lt;&gt;Complete")</f>
        <v>384</v>
      </c>
    </row>
    <row r="69" customFormat="false" ht="15" hidden="false" customHeight="false" outlineLevel="0" collapsed="false">
      <c r="A69" s="8" t="s">
        <v>100</v>
      </c>
      <c r="B69" s="9" t="n">
        <f aca="false">COUNTIFS(Projects!$E:$E,A69,Projects!$G:$G,"&lt;&gt;Complete")</f>
        <v>19</v>
      </c>
      <c r="C69" s="9" t="n">
        <f aca="false">SUMIFS(Projects!$J:$J,Projects!$E:$E,A69,Projects!$G:$G,"&lt;&gt;Complete")</f>
        <v>1395</v>
      </c>
      <c r="D69" s="9" t="n">
        <f aca="false">SUMIFS(Projects!$K:$K,Projects!$E:$E,A69,Projects!$G:$G,"&lt;&gt;Complete")</f>
        <v>491</v>
      </c>
    </row>
    <row r="70" customFormat="false" ht="15" hidden="false" customHeight="false" outlineLevel="0" collapsed="false">
      <c r="A70" s="8" t="s">
        <v>101</v>
      </c>
      <c r="B70" s="9" t="n">
        <f aca="false">COUNTIFS(Projects!$E:$E,A70,Projects!$G:$G,"&lt;&gt;Complete")</f>
        <v>5</v>
      </c>
      <c r="C70" s="9" t="n">
        <f aca="false">SUMIFS(Projects!$J:$J,Projects!$E:$E,A70,Projects!$G:$G,"&lt;&gt;Complete")</f>
        <v>1031</v>
      </c>
      <c r="D70" s="9" t="n">
        <f aca="false">SUMIFS(Projects!$K:$K,Projects!$E:$E,A70,Projects!$G:$G,"&lt;&gt;Complete")</f>
        <v>983</v>
      </c>
    </row>
    <row r="71" customFormat="false" ht="15" hidden="false" customHeight="false" outlineLevel="0" collapsed="false">
      <c r="A71" s="8" t="s">
        <v>102</v>
      </c>
      <c r="B71" s="9" t="n">
        <f aca="false">COUNTIFS(Projects!$E:$E,A71,Projects!$G:$G,"&lt;&gt;Complete")</f>
        <v>26</v>
      </c>
      <c r="C71" s="9" t="n">
        <f aca="false">SUMIFS(Projects!$J:$J,Projects!$E:$E,A71,Projects!$G:$G,"&lt;&gt;Complete")</f>
        <v>4611</v>
      </c>
      <c r="D71" s="9" t="n">
        <f aca="false">SUMIFS(Projects!$K:$K,Projects!$E:$E,A71,Projects!$G:$G,"&lt;&gt;Complete")</f>
        <v>1152</v>
      </c>
    </row>
    <row r="72" customFormat="false" ht="15" hidden="false" customHeight="false" outlineLevel="0" collapsed="false">
      <c r="A72" s="8" t="s">
        <v>103</v>
      </c>
      <c r="B72" s="9" t="n">
        <f aca="false">COUNTIFS(Projects!$E:$E,A72,Projects!$G:$G,"&lt;&gt;Complete")</f>
        <v>63</v>
      </c>
      <c r="C72" s="9" t="n">
        <f aca="false">SUMIFS(Projects!$J:$J,Projects!$E:$E,A72,Projects!$G:$G,"&lt;&gt;Complete")</f>
        <v>14275</v>
      </c>
      <c r="D72" s="9" t="n">
        <f aca="false">SUMIFS(Projects!$K:$K,Projects!$E:$E,A72,Projects!$G:$G,"&lt;&gt;Complete")</f>
        <v>3032</v>
      </c>
    </row>
    <row r="73" customFormat="false" ht="15" hidden="false" customHeight="false" outlineLevel="0" collapsed="false">
      <c r="A73" s="8" t="s">
        <v>104</v>
      </c>
      <c r="B73" s="9" t="n">
        <f aca="false">COUNTIFS(Projects!$E:$E,A73,Projects!$G:$G,"&lt;&gt;Complete")</f>
        <v>9</v>
      </c>
      <c r="C73" s="9" t="n">
        <f aca="false">SUMIFS(Projects!$J:$J,Projects!$E:$E,A73,Projects!$G:$G,"&lt;&gt;Complete")</f>
        <v>11055</v>
      </c>
      <c r="D73" s="9" t="n">
        <f aca="false">SUMIFS(Projects!$K:$K,Projects!$E:$E,A73,Projects!$G:$G,"&lt;&gt;Complete")</f>
        <v>1470</v>
      </c>
    </row>
    <row r="74" customFormat="false" ht="15" hidden="false" customHeight="false" outlineLevel="0" collapsed="false">
      <c r="A74" s="8" t="s">
        <v>105</v>
      </c>
      <c r="B74" s="9" t="n">
        <f aca="false">COUNTIFS(Projects!$E:$E,A74,Projects!$G:$G,"&lt;&gt;Complete")</f>
        <v>11</v>
      </c>
      <c r="C74" s="9" t="n">
        <f aca="false">SUMIFS(Projects!$J:$J,Projects!$E:$E,A74,Projects!$G:$G,"&lt;&gt;Complete")</f>
        <v>732</v>
      </c>
      <c r="D74" s="9" t="n">
        <f aca="false">SUMIFS(Projects!$K:$K,Projects!$E:$E,A74,Projects!$G:$G,"&lt;&gt;Complete")</f>
        <v>271</v>
      </c>
    </row>
    <row r="75" customFormat="false" ht="15" hidden="false" customHeight="false" outlineLevel="0" collapsed="false">
      <c r="A75" s="8" t="s">
        <v>106</v>
      </c>
      <c r="B75" s="9" t="n">
        <f aca="false">COUNTIFS(Projects!$E:$E,A75,Projects!$G:$G,"&lt;&gt;Complete")</f>
        <v>29</v>
      </c>
      <c r="C75" s="9" t="n">
        <f aca="false">SUMIFS(Projects!$J:$J,Projects!$E:$E,A75,Projects!$G:$G,"&lt;&gt;Complete")</f>
        <v>2943</v>
      </c>
      <c r="D75" s="9" t="n">
        <f aca="false">SUMIFS(Projects!$K:$K,Projects!$E:$E,A75,Projects!$G:$G,"&lt;&gt;Complete")</f>
        <v>1492</v>
      </c>
    </row>
    <row r="76" customFormat="false" ht="15" hidden="false" customHeight="false" outlineLevel="0" collapsed="false">
      <c r="A76" s="8" t="s">
        <v>107</v>
      </c>
      <c r="B76" s="9" t="n">
        <f aca="false">COUNTIFS(Projects!$E:$E,A76,Projects!$G:$G,"&lt;&gt;Complete")</f>
        <v>30</v>
      </c>
      <c r="C76" s="9" t="n">
        <f aca="false">SUMIFS(Projects!$J:$J,Projects!$E:$E,A76,Projects!$G:$G,"&lt;&gt;Complete")</f>
        <v>7313</v>
      </c>
      <c r="D76" s="9" t="n">
        <f aca="false">SUMIFS(Projects!$K:$K,Projects!$E:$E,A76,Projects!$G:$G,"&lt;&gt;Complete")</f>
        <v>2301</v>
      </c>
    </row>
    <row r="77" customFormat="false" ht="15" hidden="false" customHeight="false" outlineLevel="0" collapsed="false">
      <c r="A77" s="8" t="s">
        <v>108</v>
      </c>
      <c r="B77" s="9" t="n">
        <f aca="false">COUNTIFS(Projects!$E:$E,A77,Projects!$G:$G,"&lt;&gt;Complete")</f>
        <v>5</v>
      </c>
      <c r="C77" s="9" t="n">
        <f aca="false">SUMIFS(Projects!$J:$J,Projects!$E:$E,A77,Projects!$G:$G,"&lt;&gt;Complete")</f>
        <v>197</v>
      </c>
      <c r="D77" s="9" t="n">
        <f aca="false">SUMIFS(Projects!$K:$K,Projects!$E:$E,A77,Projects!$G:$G,"&lt;&gt;Complete")</f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8" min="3" style="0" width="12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4" t="s">
        <v>109</v>
      </c>
    </row>
    <row r="3" customFormat="false" ht="15" hidden="false" customHeight="false" outlineLevel="0" collapsed="false">
      <c r="A3" s="6" t="s">
        <v>110</v>
      </c>
    </row>
    <row r="4" customFormat="false" ht="15" hidden="false" customHeight="false" outlineLevel="0" collapsed="false">
      <c r="A4" s="7" t="s">
        <v>111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76</v>
      </c>
      <c r="H4" s="7" t="s">
        <v>29</v>
      </c>
    </row>
    <row r="5" customFormat="false" ht="15" hidden="false" customHeight="false" outlineLevel="0" collapsed="false">
      <c r="A5" s="8" t="s">
        <v>117</v>
      </c>
      <c r="B5" s="9" t="n">
        <v>94500</v>
      </c>
      <c r="C5" s="9" t="n">
        <v>82988</v>
      </c>
      <c r="D5" s="9" t="n">
        <v>39740</v>
      </c>
      <c r="E5" s="9" t="n">
        <v>39649</v>
      </c>
      <c r="F5" s="9" t="n">
        <v>163412</v>
      </c>
      <c r="G5" s="9" t="n">
        <v>420289</v>
      </c>
      <c r="H5" s="8" t="s">
        <v>118</v>
      </c>
    </row>
    <row r="6" customFormat="false" ht="15" hidden="false" customHeight="false" outlineLevel="0" collapsed="false">
      <c r="A6" s="8" t="s">
        <v>119</v>
      </c>
      <c r="B6" s="9" t="n">
        <v>17</v>
      </c>
      <c r="C6" s="9" t="n">
        <v>155</v>
      </c>
      <c r="D6" s="9" t="n">
        <v>37</v>
      </c>
      <c r="E6" s="9" t="n">
        <v>67</v>
      </c>
      <c r="F6" s="9" t="n">
        <v>2393</v>
      </c>
      <c r="G6" s="9" t="n">
        <v>2669</v>
      </c>
      <c r="H6" s="8" t="s">
        <v>118</v>
      </c>
    </row>
    <row r="7" customFormat="false" ht="15" hidden="false" customHeight="false" outlineLevel="0" collapsed="false">
      <c r="A7" s="8" t="s">
        <v>34</v>
      </c>
      <c r="B7" s="9" t="n">
        <v>94517</v>
      </c>
      <c r="C7" s="9" t="n">
        <v>83143</v>
      </c>
      <c r="D7" s="9" t="n">
        <v>39777</v>
      </c>
      <c r="E7" s="9" t="n">
        <v>39716</v>
      </c>
      <c r="F7" s="9" t="n">
        <v>165805</v>
      </c>
      <c r="G7" s="9" t="n">
        <v>422958</v>
      </c>
      <c r="H7" s="8" t="s">
        <v>118</v>
      </c>
    </row>
    <row r="8" customFormat="false" ht="15" hidden="false" customHeight="false" outlineLevel="0" collapsed="false">
      <c r="A8" s="8" t="s">
        <v>120</v>
      </c>
      <c r="B8" s="9" t="n">
        <v>95071</v>
      </c>
      <c r="C8" s="9" t="n">
        <v>83015</v>
      </c>
      <c r="D8" s="9" t="n">
        <v>39321</v>
      </c>
      <c r="E8" s="9" t="n">
        <v>39064</v>
      </c>
      <c r="F8" s="9" t="n">
        <v>161353</v>
      </c>
      <c r="G8" s="9" t="n">
        <v>417824</v>
      </c>
      <c r="H8" s="8" t="s">
        <v>121</v>
      </c>
    </row>
    <row r="9" customFormat="false" ht="15" hidden="false" customHeight="false" outlineLevel="0" collapsed="false">
      <c r="A9" s="8" t="s">
        <v>122</v>
      </c>
      <c r="B9" s="9" t="n">
        <v>95051</v>
      </c>
      <c r="C9" s="9" t="n">
        <v>82856</v>
      </c>
      <c r="D9" s="9" t="n">
        <v>39299</v>
      </c>
      <c r="E9" s="9" t="n">
        <v>39040</v>
      </c>
      <c r="F9" s="9" t="n">
        <v>159981</v>
      </c>
      <c r="G9" s="9" t="n">
        <v>416227</v>
      </c>
      <c r="H9" s="8" t="s">
        <v>121</v>
      </c>
    </row>
    <row r="10" customFormat="false" ht="15" hidden="false" customHeight="false" outlineLevel="0" collapsed="false">
      <c r="A10" s="6" t="s">
        <v>123</v>
      </c>
      <c r="B10" s="10" t="n">
        <f aca="false">B7/$G$7</f>
        <v>0.223466632620733</v>
      </c>
      <c r="C10" s="10" t="n">
        <f aca="false">C7/$G$7</f>
        <v>0.196575073647975</v>
      </c>
      <c r="D10" s="10" t="n">
        <f aca="false">D7/$G$7</f>
        <v>0.0940447987743464</v>
      </c>
      <c r="E10" s="10" t="n">
        <f aca="false">E7/$G$7</f>
        <v>0.0939005764165709</v>
      </c>
      <c r="F10" s="10" t="n">
        <f aca="false">F7/$G$7</f>
        <v>0.392012918540375</v>
      </c>
    </row>
    <row r="11" customFormat="false" ht="15" hidden="false" customHeight="false" outlineLevel="0" collapsed="false">
      <c r="A11" s="5" t="s">
        <v>124</v>
      </c>
    </row>
    <row r="13" customFormat="false" ht="15" hidden="false" customHeight="false" outlineLevel="0" collapsed="false">
      <c r="A13" s="6" t="s">
        <v>125</v>
      </c>
    </row>
    <row r="14" customFormat="false" ht="15" hidden="false" customHeight="false" outlineLevel="0" collapsed="false">
      <c r="A14" s="7" t="s">
        <v>26</v>
      </c>
      <c r="B14" s="7" t="s">
        <v>27</v>
      </c>
      <c r="C14" s="7" t="s">
        <v>126</v>
      </c>
      <c r="D14" s="7" t="s">
        <v>29</v>
      </c>
    </row>
    <row r="15" customFormat="false" ht="15" hidden="false" customHeight="false" outlineLevel="0" collapsed="false">
      <c r="A15" s="8" t="s">
        <v>127</v>
      </c>
      <c r="B15" s="9" t="n">
        <v>420800</v>
      </c>
      <c r="C15" s="8"/>
      <c r="D15" s="8" t="s">
        <v>128</v>
      </c>
    </row>
    <row r="16" customFormat="false" ht="15" hidden="false" customHeight="false" outlineLevel="0" collapsed="false">
      <c r="A16" s="8" t="s">
        <v>129</v>
      </c>
      <c r="B16" s="9" t="n">
        <v>380400</v>
      </c>
      <c r="C16" s="8"/>
      <c r="D16" s="8" t="s">
        <v>130</v>
      </c>
    </row>
    <row r="17" customFormat="false" ht="15" hidden="false" customHeight="false" outlineLevel="0" collapsed="false">
      <c r="A17" s="8" t="s">
        <v>131</v>
      </c>
      <c r="B17" s="8" t="s">
        <v>132</v>
      </c>
      <c r="C17" s="8" t="s">
        <v>133</v>
      </c>
      <c r="D17" s="8" t="s">
        <v>130</v>
      </c>
    </row>
    <row r="18" customFormat="false" ht="15" hidden="false" customHeight="false" outlineLevel="0" collapsed="false">
      <c r="A18" s="8" t="s">
        <v>134</v>
      </c>
      <c r="B18" s="8" t="s">
        <v>135</v>
      </c>
      <c r="C18" s="8" t="s">
        <v>133</v>
      </c>
      <c r="D18" s="8" t="s">
        <v>130</v>
      </c>
    </row>
    <row r="19" customFormat="false" ht="15" hidden="false" customHeight="false" outlineLevel="0" collapsed="false">
      <c r="A19" s="8" t="s">
        <v>136</v>
      </c>
      <c r="B19" s="9" t="n">
        <v>40450</v>
      </c>
      <c r="C19" s="8" t="s">
        <v>137</v>
      </c>
      <c r="D19" s="8" t="s">
        <v>130</v>
      </c>
    </row>
    <row r="20" customFormat="false" ht="15" hidden="false" customHeight="false" outlineLevel="0" collapsed="false">
      <c r="A20" s="8" t="s">
        <v>138</v>
      </c>
      <c r="B20" s="8" t="s">
        <v>139</v>
      </c>
      <c r="C20" s="8" t="s">
        <v>140</v>
      </c>
      <c r="D20" s="8" t="s">
        <v>141</v>
      </c>
    </row>
    <row r="21" customFormat="false" ht="15" hidden="false" customHeight="false" outlineLevel="0" collapsed="false">
      <c r="A21" s="8" t="s">
        <v>142</v>
      </c>
      <c r="B21" s="8" t="s">
        <v>143</v>
      </c>
      <c r="C21" s="8" t="s">
        <v>140</v>
      </c>
      <c r="D21" s="8" t="s">
        <v>144</v>
      </c>
    </row>
    <row r="22" customFormat="false" ht="15" hidden="false" customHeight="false" outlineLevel="0" collapsed="false">
      <c r="A22" s="8" t="s">
        <v>145</v>
      </c>
      <c r="B22" s="8" t="n">
        <v>1944</v>
      </c>
      <c r="C22" s="8"/>
      <c r="D22" s="8" t="s">
        <v>146</v>
      </c>
    </row>
    <row r="23" customFormat="false" ht="15" hidden="false" customHeight="false" outlineLevel="0" collapsed="false">
      <c r="A23" s="8" t="s">
        <v>147</v>
      </c>
      <c r="B23" s="8" t="s">
        <v>148</v>
      </c>
      <c r="C23" s="8" t="s">
        <v>149</v>
      </c>
      <c r="D23" s="8" t="s">
        <v>150</v>
      </c>
    </row>
    <row r="24" customFormat="false" ht="15" hidden="false" customHeight="false" outlineLevel="0" collapsed="false">
      <c r="A24" s="8" t="s">
        <v>151</v>
      </c>
      <c r="B24" s="8" t="s">
        <v>152</v>
      </c>
      <c r="C24" s="8"/>
      <c r="D24" s="8" t="s">
        <v>150</v>
      </c>
    </row>
    <row r="25" customFormat="false" ht="15" hidden="false" customHeight="false" outlineLevel="0" collapsed="false">
      <c r="A25" s="8" t="s">
        <v>153</v>
      </c>
      <c r="B25" s="8" t="s">
        <v>154</v>
      </c>
      <c r="C25" s="8"/>
      <c r="D25" s="8" t="s">
        <v>150</v>
      </c>
    </row>
    <row r="26" customFormat="false" ht="15" hidden="false" customHeight="false" outlineLevel="0" collapsed="false">
      <c r="A26" s="8" t="s">
        <v>155</v>
      </c>
      <c r="B26" s="8" t="s">
        <v>156</v>
      </c>
      <c r="C26" s="8"/>
      <c r="D26" s="8" t="s">
        <v>150</v>
      </c>
    </row>
    <row r="27" customFormat="false" ht="15" hidden="false" customHeight="false" outlineLevel="0" collapsed="false">
      <c r="A27" s="8" t="s">
        <v>157</v>
      </c>
      <c r="B27" s="8" t="s">
        <v>158</v>
      </c>
      <c r="C27" s="8" t="s">
        <v>159</v>
      </c>
      <c r="D27" s="8" t="s">
        <v>160</v>
      </c>
    </row>
    <row r="28" customFormat="false" ht="15" hidden="false" customHeight="false" outlineLevel="0" collapsed="false">
      <c r="A28" s="8" t="s">
        <v>161</v>
      </c>
      <c r="B28" s="8" t="s">
        <v>162</v>
      </c>
      <c r="C28" s="8"/>
      <c r="D28" s="8" t="s">
        <v>160</v>
      </c>
    </row>
    <row r="29" customFormat="false" ht="15" hidden="false" customHeight="false" outlineLevel="0" collapsed="false">
      <c r="A29" s="8" t="s">
        <v>163</v>
      </c>
      <c r="B29" s="9" t="n">
        <v>18997</v>
      </c>
      <c r="C29" s="8" t="s">
        <v>164</v>
      </c>
      <c r="D29" s="8" t="s">
        <v>165</v>
      </c>
    </row>
    <row r="30" customFormat="false" ht="15" hidden="false" customHeight="false" outlineLevel="0" collapsed="false">
      <c r="A30" s="8" t="s">
        <v>166</v>
      </c>
      <c r="B30" s="8" t="n">
        <v>2989</v>
      </c>
      <c r="C30" s="8" t="s">
        <v>167</v>
      </c>
      <c r="D30" s="8" t="s">
        <v>168</v>
      </c>
    </row>
    <row r="31" customFormat="false" ht="15" hidden="false" customHeight="false" outlineLevel="0" collapsed="false">
      <c r="A31" s="8" t="s">
        <v>169</v>
      </c>
      <c r="B31" s="8" t="n">
        <v>223</v>
      </c>
      <c r="C31" s="8" t="s">
        <v>170</v>
      </c>
      <c r="D31" s="8" t="s">
        <v>171</v>
      </c>
    </row>
    <row r="32" customFormat="false" ht="15" hidden="false" customHeight="false" outlineLevel="0" collapsed="false">
      <c r="A32" s="5" t="s">
        <v>172</v>
      </c>
    </row>
    <row r="34" customFormat="false" ht="15" hidden="false" customHeight="false" outlineLevel="0" collapsed="false">
      <c r="A34" s="6" t="s">
        <v>173</v>
      </c>
    </row>
    <row r="35" customFormat="false" ht="23.85" hidden="false" customHeight="false" outlineLevel="0" collapsed="false">
      <c r="A35" s="7" t="s">
        <v>174</v>
      </c>
      <c r="B35" s="7" t="s">
        <v>112</v>
      </c>
      <c r="C35" s="7" t="s">
        <v>113</v>
      </c>
      <c r="D35" s="7" t="s">
        <v>114</v>
      </c>
      <c r="E35" s="7" t="s">
        <v>115</v>
      </c>
      <c r="F35" s="7" t="s">
        <v>116</v>
      </c>
      <c r="G35" s="7" t="s">
        <v>175</v>
      </c>
      <c r="H35" s="7" t="s">
        <v>176</v>
      </c>
      <c r="I35" s="7" t="s">
        <v>177</v>
      </c>
    </row>
    <row r="36" customFormat="false" ht="15" hidden="false" customHeight="false" outlineLevel="0" collapsed="false">
      <c r="A36" s="8" t="s">
        <v>178</v>
      </c>
      <c r="B36" s="9" t="n">
        <v>5846</v>
      </c>
      <c r="C36" s="9" t="n">
        <v>1458</v>
      </c>
      <c r="D36" s="9" t="n">
        <v>281</v>
      </c>
      <c r="E36" s="9" t="n">
        <v>296</v>
      </c>
      <c r="F36" s="9" t="n">
        <v>5735</v>
      </c>
      <c r="G36" s="9" t="n">
        <v>13616</v>
      </c>
      <c r="H36" s="9" t="n">
        <v>320</v>
      </c>
      <c r="I36" s="9" t="n">
        <v>304</v>
      </c>
    </row>
    <row r="37" customFormat="false" ht="15" hidden="false" customHeight="false" outlineLevel="0" collapsed="false">
      <c r="A37" s="8" t="s">
        <v>179</v>
      </c>
      <c r="B37" s="9" t="n">
        <v>4674</v>
      </c>
      <c r="C37" s="9" t="n">
        <v>3234</v>
      </c>
      <c r="D37" s="9" t="n">
        <v>582</v>
      </c>
      <c r="E37" s="9" t="n">
        <v>253</v>
      </c>
      <c r="F37" s="9" t="n">
        <v>682</v>
      </c>
      <c r="G37" s="9" t="n">
        <v>9425</v>
      </c>
      <c r="H37" s="9" t="n">
        <v>156</v>
      </c>
      <c r="I37" s="9" t="n">
        <v>147</v>
      </c>
    </row>
    <row r="38" customFormat="false" ht="15" hidden="false" customHeight="false" outlineLevel="0" collapsed="false">
      <c r="A38" s="8" t="s">
        <v>180</v>
      </c>
      <c r="B38" s="9" t="n">
        <v>1583</v>
      </c>
      <c r="C38" s="9" t="n">
        <v>5684</v>
      </c>
      <c r="D38" s="9" t="n">
        <v>2092</v>
      </c>
      <c r="E38" s="9" t="n">
        <v>1284</v>
      </c>
      <c r="F38" s="9" t="n">
        <v>1887</v>
      </c>
      <c r="G38" s="9" t="n">
        <v>12530</v>
      </c>
      <c r="H38" s="9" t="n">
        <v>10</v>
      </c>
      <c r="I38" s="9" t="n">
        <v>1</v>
      </c>
    </row>
    <row r="39" customFormat="false" ht="15" hidden="false" customHeight="false" outlineLevel="0" collapsed="false">
      <c r="A39" s="8" t="s">
        <v>181</v>
      </c>
      <c r="B39" s="9" t="n">
        <v>27</v>
      </c>
      <c r="C39" s="9" t="n">
        <v>816</v>
      </c>
      <c r="D39" s="9" t="n">
        <v>1099</v>
      </c>
      <c r="E39" s="9" t="n">
        <v>889</v>
      </c>
      <c r="F39" s="9" t="n">
        <v>3230</v>
      </c>
      <c r="G39" s="9" t="n">
        <v>6061</v>
      </c>
      <c r="H39" s="9" t="n">
        <v>0</v>
      </c>
      <c r="I39" s="9" t="n">
        <v>0</v>
      </c>
    </row>
    <row r="40" customFormat="false" ht="15" hidden="false" customHeight="false" outlineLevel="0" collapsed="false">
      <c r="A40" s="8" t="s">
        <v>182</v>
      </c>
      <c r="B40" s="9" t="n">
        <v>7688</v>
      </c>
      <c r="C40" s="9" t="n">
        <v>1163</v>
      </c>
      <c r="D40" s="9" t="n">
        <v>341</v>
      </c>
      <c r="E40" s="9" t="n">
        <v>282</v>
      </c>
      <c r="F40" s="9" t="n">
        <v>770</v>
      </c>
      <c r="G40" s="9" t="n">
        <v>10244</v>
      </c>
      <c r="H40" s="9" t="n">
        <v>7</v>
      </c>
      <c r="I40" s="9" t="n">
        <v>0</v>
      </c>
    </row>
    <row r="41" customFormat="false" ht="15" hidden="false" customHeight="false" outlineLevel="0" collapsed="false">
      <c r="A41" s="8" t="s">
        <v>183</v>
      </c>
      <c r="B41" s="9" t="n">
        <v>7</v>
      </c>
      <c r="C41" s="9" t="n">
        <v>105</v>
      </c>
      <c r="D41" s="9" t="n">
        <v>110</v>
      </c>
      <c r="E41" s="9" t="n">
        <v>196</v>
      </c>
      <c r="F41" s="9" t="n">
        <v>19649</v>
      </c>
      <c r="G41" s="9" t="n">
        <v>20067</v>
      </c>
      <c r="H41" s="9" t="n">
        <v>158</v>
      </c>
      <c r="I41" s="9" t="n">
        <v>151</v>
      </c>
    </row>
    <row r="42" customFormat="false" ht="15" hidden="false" customHeight="false" outlineLevel="0" collapsed="false">
      <c r="A42" s="8" t="s">
        <v>184</v>
      </c>
      <c r="B42" s="9" t="n">
        <v>1991</v>
      </c>
      <c r="C42" s="9" t="n">
        <v>973</v>
      </c>
      <c r="D42" s="9" t="n">
        <v>119</v>
      </c>
      <c r="E42" s="9" t="n">
        <v>116</v>
      </c>
      <c r="F42" s="9" t="n">
        <v>1040</v>
      </c>
      <c r="G42" s="9" t="n">
        <v>4239</v>
      </c>
      <c r="H42" s="9" t="n">
        <v>0</v>
      </c>
      <c r="I42" s="9" t="n">
        <v>0</v>
      </c>
    </row>
    <row r="43" customFormat="false" ht="15" hidden="false" customHeight="false" outlineLevel="0" collapsed="false">
      <c r="A43" s="8" t="s">
        <v>185</v>
      </c>
      <c r="B43" s="9" t="n">
        <v>0</v>
      </c>
      <c r="C43" s="9" t="n">
        <v>0</v>
      </c>
      <c r="D43" s="9" t="n">
        <v>0</v>
      </c>
      <c r="E43" s="9" t="n">
        <v>0</v>
      </c>
      <c r="F43" s="9" t="n">
        <v>42</v>
      </c>
      <c r="G43" s="9" t="n">
        <v>42</v>
      </c>
      <c r="H43" s="9" t="n">
        <v>0</v>
      </c>
      <c r="I43" s="9" t="n">
        <v>0</v>
      </c>
    </row>
    <row r="44" customFormat="false" ht="15" hidden="false" customHeight="false" outlineLevel="0" collapsed="false">
      <c r="A44" s="8" t="s">
        <v>186</v>
      </c>
      <c r="B44" s="9" t="n">
        <v>749</v>
      </c>
      <c r="C44" s="9" t="n">
        <v>3872</v>
      </c>
      <c r="D44" s="9" t="n">
        <v>2430</v>
      </c>
      <c r="E44" s="9" t="n">
        <v>1456</v>
      </c>
      <c r="F44" s="9" t="n">
        <v>937</v>
      </c>
      <c r="G44" s="9" t="n">
        <v>9444</v>
      </c>
      <c r="H44" s="9" t="n">
        <v>165</v>
      </c>
      <c r="I44" s="9" t="n">
        <v>162</v>
      </c>
    </row>
    <row r="45" customFormat="false" ht="15" hidden="false" customHeight="false" outlineLevel="0" collapsed="false">
      <c r="A45" s="8" t="s">
        <v>187</v>
      </c>
      <c r="B45" s="9" t="n">
        <v>196</v>
      </c>
      <c r="C45" s="9" t="n">
        <v>2439</v>
      </c>
      <c r="D45" s="9" t="n">
        <v>1824</v>
      </c>
      <c r="E45" s="9" t="n">
        <v>2044</v>
      </c>
      <c r="F45" s="9" t="n">
        <v>5726</v>
      </c>
      <c r="G45" s="9" t="n">
        <v>12229</v>
      </c>
      <c r="H45" s="9" t="n">
        <v>68</v>
      </c>
      <c r="I45" s="9" t="n">
        <v>64</v>
      </c>
    </row>
    <row r="46" customFormat="false" ht="15" hidden="false" customHeight="false" outlineLevel="0" collapsed="false">
      <c r="A46" s="8" t="s">
        <v>188</v>
      </c>
      <c r="B46" s="9" t="n">
        <v>1350</v>
      </c>
      <c r="C46" s="9" t="n">
        <v>4822</v>
      </c>
      <c r="D46" s="9" t="n">
        <v>1917</v>
      </c>
      <c r="E46" s="9" t="n">
        <v>1374</v>
      </c>
      <c r="F46" s="9" t="n">
        <v>565</v>
      </c>
      <c r="G46" s="9" t="n">
        <v>10028</v>
      </c>
      <c r="H46" s="9" t="n">
        <v>107</v>
      </c>
      <c r="I46" s="9" t="n">
        <v>98</v>
      </c>
    </row>
    <row r="47" customFormat="false" ht="15" hidden="false" customHeight="false" outlineLevel="0" collapsed="false">
      <c r="A47" s="8" t="s">
        <v>189</v>
      </c>
      <c r="B47" s="9" t="n">
        <v>4237</v>
      </c>
      <c r="C47" s="9" t="n">
        <v>4311</v>
      </c>
      <c r="D47" s="9" t="n">
        <v>1479</v>
      </c>
      <c r="E47" s="9" t="n">
        <v>1223</v>
      </c>
      <c r="F47" s="9" t="n">
        <v>1385</v>
      </c>
      <c r="G47" s="9" t="n">
        <v>12635</v>
      </c>
      <c r="H47" s="9" t="n">
        <v>11</v>
      </c>
      <c r="I47" s="9" t="n">
        <v>3</v>
      </c>
    </row>
    <row r="48" customFormat="false" ht="15" hidden="false" customHeight="false" outlineLevel="0" collapsed="false">
      <c r="A48" s="8" t="s">
        <v>190</v>
      </c>
      <c r="B48" s="9" t="n">
        <v>23</v>
      </c>
      <c r="C48" s="9" t="n">
        <v>190</v>
      </c>
      <c r="D48" s="9" t="n">
        <v>78</v>
      </c>
      <c r="E48" s="9" t="n">
        <v>155</v>
      </c>
      <c r="F48" s="9" t="n">
        <v>2428</v>
      </c>
      <c r="G48" s="9" t="n">
        <v>2874</v>
      </c>
      <c r="H48" s="9" t="n">
        <v>-1</v>
      </c>
      <c r="I48" s="9" t="n">
        <v>0</v>
      </c>
    </row>
    <row r="49" customFormat="false" ht="15" hidden="false" customHeight="false" outlineLevel="0" collapsed="false">
      <c r="A49" s="8" t="s">
        <v>191</v>
      </c>
      <c r="B49" s="9" t="n">
        <v>118</v>
      </c>
      <c r="C49" s="9" t="n">
        <v>2</v>
      </c>
      <c r="D49" s="9" t="n">
        <v>0</v>
      </c>
      <c r="E49" s="9" t="n">
        <v>32</v>
      </c>
      <c r="F49" s="9" t="n">
        <v>4505</v>
      </c>
      <c r="G49" s="9" t="n">
        <v>4657</v>
      </c>
      <c r="H49" s="9" t="n">
        <v>0</v>
      </c>
      <c r="I49" s="9" t="n">
        <v>0</v>
      </c>
    </row>
    <row r="50" customFormat="false" ht="15" hidden="false" customHeight="false" outlineLevel="0" collapsed="false">
      <c r="A50" s="8" t="s">
        <v>192</v>
      </c>
      <c r="B50" s="9" t="n">
        <v>18</v>
      </c>
      <c r="C50" s="9" t="n">
        <v>46</v>
      </c>
      <c r="D50" s="9" t="n">
        <v>6</v>
      </c>
      <c r="E50" s="9" t="n">
        <v>0</v>
      </c>
      <c r="F50" s="9" t="n">
        <v>0</v>
      </c>
      <c r="G50" s="9" t="n">
        <v>70</v>
      </c>
      <c r="H50" s="9" t="n">
        <v>0</v>
      </c>
      <c r="I50" s="9" t="n">
        <v>0</v>
      </c>
    </row>
    <row r="51" customFormat="false" ht="15" hidden="false" customHeight="false" outlineLevel="0" collapsed="false">
      <c r="A51" s="8" t="s">
        <v>193</v>
      </c>
      <c r="B51" s="9" t="n">
        <v>664</v>
      </c>
      <c r="C51" s="9" t="n">
        <v>3167</v>
      </c>
      <c r="D51" s="9" t="n">
        <v>1212</v>
      </c>
      <c r="E51" s="9" t="n">
        <v>984</v>
      </c>
      <c r="F51" s="9" t="n">
        <v>1149</v>
      </c>
      <c r="G51" s="9" t="n">
        <v>7176</v>
      </c>
      <c r="H51" s="9" t="n">
        <v>2</v>
      </c>
      <c r="I51" s="9" t="n">
        <v>0</v>
      </c>
    </row>
    <row r="52" customFormat="false" ht="15" hidden="false" customHeight="false" outlineLevel="0" collapsed="false">
      <c r="A52" s="8" t="s">
        <v>194</v>
      </c>
      <c r="B52" s="9" t="n">
        <v>1139</v>
      </c>
      <c r="C52" s="9" t="n">
        <v>4594</v>
      </c>
      <c r="D52" s="9" t="n">
        <v>2287</v>
      </c>
      <c r="E52" s="9" t="n">
        <v>4718</v>
      </c>
      <c r="F52" s="9" t="n">
        <v>3052</v>
      </c>
      <c r="G52" s="9" t="n">
        <v>15790</v>
      </c>
      <c r="H52" s="9" t="n">
        <v>18</v>
      </c>
      <c r="I52" s="9" t="n">
        <v>3</v>
      </c>
    </row>
    <row r="53" customFormat="false" ht="15" hidden="false" customHeight="false" outlineLevel="0" collapsed="false">
      <c r="A53" s="8" t="s">
        <v>195</v>
      </c>
      <c r="B53" s="9" t="n">
        <v>104</v>
      </c>
      <c r="C53" s="9" t="n">
        <v>0</v>
      </c>
      <c r="D53" s="9" t="n">
        <v>0</v>
      </c>
      <c r="E53" s="9" t="n">
        <v>0</v>
      </c>
      <c r="F53" s="9" t="n">
        <v>91</v>
      </c>
      <c r="G53" s="9" t="n">
        <v>195</v>
      </c>
      <c r="H53" s="9" t="n">
        <v>0</v>
      </c>
      <c r="I53" s="9" t="n">
        <v>0</v>
      </c>
    </row>
    <row r="54" customFormat="false" ht="15" hidden="false" customHeight="false" outlineLevel="0" collapsed="false">
      <c r="A54" s="8" t="s">
        <v>196</v>
      </c>
      <c r="B54" s="9" t="n">
        <v>1368</v>
      </c>
      <c r="C54" s="9" t="n">
        <v>8845</v>
      </c>
      <c r="D54" s="9" t="n">
        <v>5620</v>
      </c>
      <c r="E54" s="9" t="n">
        <v>3448</v>
      </c>
      <c r="F54" s="9" t="n">
        <v>10809</v>
      </c>
      <c r="G54" s="9" t="n">
        <v>30090</v>
      </c>
      <c r="H54" s="9" t="n">
        <v>70</v>
      </c>
      <c r="I54" s="9" t="n">
        <v>51</v>
      </c>
    </row>
    <row r="55" customFormat="false" ht="15" hidden="false" customHeight="false" outlineLevel="0" collapsed="false">
      <c r="A55" s="8" t="s">
        <v>197</v>
      </c>
      <c r="B55" s="9" t="n">
        <v>0</v>
      </c>
      <c r="C55" s="9" t="n">
        <v>4</v>
      </c>
      <c r="D55" s="9" t="n">
        <v>0</v>
      </c>
      <c r="E55" s="9" t="n">
        <v>45</v>
      </c>
      <c r="F55" s="9" t="n">
        <v>10880</v>
      </c>
      <c r="G55" s="9" t="n">
        <v>10929</v>
      </c>
      <c r="H55" s="9" t="n">
        <v>1</v>
      </c>
      <c r="I55" s="9" t="n">
        <v>0</v>
      </c>
    </row>
    <row r="56" customFormat="false" ht="15" hidden="false" customHeight="false" outlineLevel="0" collapsed="false">
      <c r="A56" s="8" t="s">
        <v>198</v>
      </c>
      <c r="B56" s="9" t="n">
        <v>133</v>
      </c>
      <c r="C56" s="9" t="n">
        <v>1347</v>
      </c>
      <c r="D56" s="9" t="n">
        <v>1847</v>
      </c>
      <c r="E56" s="9" t="n">
        <v>3626</v>
      </c>
      <c r="F56" s="9" t="n">
        <v>12755</v>
      </c>
      <c r="G56" s="9" t="n">
        <v>19708</v>
      </c>
      <c r="H56" s="9" t="n">
        <v>38</v>
      </c>
      <c r="I56" s="9" t="n">
        <v>0</v>
      </c>
    </row>
    <row r="57" customFormat="false" ht="15" hidden="false" customHeight="false" outlineLevel="0" collapsed="false">
      <c r="A57" s="8" t="s">
        <v>199</v>
      </c>
      <c r="B57" s="9" t="n">
        <v>3164</v>
      </c>
      <c r="C57" s="9" t="n">
        <v>5133</v>
      </c>
      <c r="D57" s="9" t="n">
        <v>1482</v>
      </c>
      <c r="E57" s="9" t="n">
        <v>737</v>
      </c>
      <c r="F57" s="9" t="n">
        <v>1194</v>
      </c>
      <c r="G57" s="9" t="n">
        <v>11710</v>
      </c>
      <c r="H57" s="9" t="n">
        <v>12</v>
      </c>
      <c r="I57" s="9" t="n">
        <v>4</v>
      </c>
    </row>
    <row r="58" customFormat="false" ht="15" hidden="false" customHeight="false" outlineLevel="0" collapsed="false">
      <c r="A58" s="8" t="s">
        <v>200</v>
      </c>
      <c r="B58" s="9" t="n">
        <v>116</v>
      </c>
      <c r="C58" s="9" t="n">
        <v>1839</v>
      </c>
      <c r="D58" s="9" t="n">
        <v>1837</v>
      </c>
      <c r="E58" s="9" t="n">
        <v>989</v>
      </c>
      <c r="F58" s="9" t="n">
        <v>2950</v>
      </c>
      <c r="G58" s="9" t="n">
        <v>7731</v>
      </c>
      <c r="H58" s="9" t="n">
        <v>5</v>
      </c>
      <c r="I58" s="9" t="n">
        <v>0</v>
      </c>
    </row>
    <row r="59" customFormat="false" ht="15" hidden="false" customHeight="false" outlineLevel="0" collapsed="false">
      <c r="A59" s="8" t="s">
        <v>201</v>
      </c>
      <c r="B59" s="9" t="n">
        <v>5654</v>
      </c>
      <c r="C59" s="9" t="n">
        <v>731</v>
      </c>
      <c r="D59" s="9" t="n">
        <v>193</v>
      </c>
      <c r="E59" s="9" t="n">
        <v>116</v>
      </c>
      <c r="F59" s="9" t="n">
        <v>442</v>
      </c>
      <c r="G59" s="9" t="n">
        <v>7136</v>
      </c>
      <c r="H59" s="9" t="n">
        <v>5</v>
      </c>
      <c r="I59" s="9" t="n">
        <v>0</v>
      </c>
    </row>
    <row r="60" customFormat="false" ht="15" hidden="false" customHeight="false" outlineLevel="0" collapsed="false">
      <c r="A60" s="8" t="s">
        <v>202</v>
      </c>
      <c r="B60" s="9" t="n">
        <v>4516</v>
      </c>
      <c r="C60" s="9" t="n">
        <v>824</v>
      </c>
      <c r="D60" s="9" t="n">
        <v>241</v>
      </c>
      <c r="E60" s="9" t="n">
        <v>143</v>
      </c>
      <c r="F60" s="9" t="n">
        <v>784</v>
      </c>
      <c r="G60" s="9" t="n">
        <v>6508</v>
      </c>
      <c r="H60" s="9" t="n">
        <v>62</v>
      </c>
      <c r="I60" s="9" t="n">
        <v>55</v>
      </c>
    </row>
    <row r="61" customFormat="false" ht="15" hidden="false" customHeight="false" outlineLevel="0" collapsed="false">
      <c r="A61" s="8" t="s">
        <v>203</v>
      </c>
      <c r="B61" s="9" t="n">
        <v>5129</v>
      </c>
      <c r="C61" s="9" t="n">
        <v>8516</v>
      </c>
      <c r="D61" s="9" t="n">
        <v>2550</v>
      </c>
      <c r="E61" s="9" t="n">
        <v>2131</v>
      </c>
      <c r="F61" s="9" t="n">
        <v>1085</v>
      </c>
      <c r="G61" s="9" t="n">
        <v>19411</v>
      </c>
      <c r="H61" s="9" t="n">
        <v>17</v>
      </c>
      <c r="I61" s="9" t="n">
        <v>0</v>
      </c>
    </row>
    <row r="62" customFormat="false" ht="15" hidden="false" customHeight="false" outlineLevel="0" collapsed="false">
      <c r="A62" s="8" t="s">
        <v>204</v>
      </c>
      <c r="B62" s="9" t="n">
        <v>1139</v>
      </c>
      <c r="C62" s="9" t="n">
        <v>2630</v>
      </c>
      <c r="D62" s="9" t="n">
        <v>2222</v>
      </c>
      <c r="E62" s="9" t="n">
        <v>3380</v>
      </c>
      <c r="F62" s="9" t="n">
        <v>6035</v>
      </c>
      <c r="G62" s="9" t="n">
        <v>15406</v>
      </c>
      <c r="H62" s="9" t="n">
        <v>8</v>
      </c>
      <c r="I62" s="9" t="n">
        <v>0</v>
      </c>
    </row>
    <row r="63" customFormat="false" ht="15" hidden="false" customHeight="false" outlineLevel="0" collapsed="false">
      <c r="A63" s="8" t="s">
        <v>205</v>
      </c>
      <c r="B63" s="9" t="n">
        <v>3343</v>
      </c>
      <c r="C63" s="9" t="n">
        <v>678</v>
      </c>
      <c r="D63" s="9" t="n">
        <v>147</v>
      </c>
      <c r="E63" s="9" t="n">
        <v>199</v>
      </c>
      <c r="F63" s="9" t="n">
        <v>74</v>
      </c>
      <c r="G63" s="9" t="n">
        <v>4441</v>
      </c>
      <c r="H63" s="9" t="n">
        <v>8</v>
      </c>
      <c r="I63" s="9" t="n">
        <v>1</v>
      </c>
    </row>
    <row r="64" customFormat="false" ht="15" hidden="false" customHeight="false" outlineLevel="0" collapsed="false">
      <c r="A64" s="8" t="s">
        <v>206</v>
      </c>
      <c r="B64" s="9" t="n">
        <v>1288</v>
      </c>
      <c r="C64" s="9" t="n">
        <v>2350</v>
      </c>
      <c r="D64" s="9" t="n">
        <v>446</v>
      </c>
      <c r="E64" s="9" t="n">
        <v>350</v>
      </c>
      <c r="F64" s="9" t="n">
        <v>5253</v>
      </c>
      <c r="G64" s="9" t="n">
        <v>9687</v>
      </c>
      <c r="H64" s="9" t="n">
        <v>265</v>
      </c>
      <c r="I64" s="9" t="n">
        <v>264</v>
      </c>
    </row>
    <row r="65" customFormat="false" ht="15" hidden="false" customHeight="false" outlineLevel="0" collapsed="false">
      <c r="A65" s="8" t="s">
        <v>207</v>
      </c>
      <c r="B65" s="9" t="n">
        <v>10</v>
      </c>
      <c r="C65" s="9" t="n">
        <v>17</v>
      </c>
      <c r="D65" s="9" t="n">
        <v>0</v>
      </c>
      <c r="E65" s="9" t="n">
        <v>0</v>
      </c>
      <c r="F65" s="9" t="n">
        <v>0</v>
      </c>
      <c r="G65" s="9" t="n">
        <v>27</v>
      </c>
      <c r="H65" s="9" t="n">
        <v>0</v>
      </c>
      <c r="I65" s="9" t="n">
        <v>0</v>
      </c>
    </row>
    <row r="66" customFormat="false" ht="15" hidden="false" customHeight="false" outlineLevel="0" collapsed="false">
      <c r="A66" s="8" t="s">
        <v>208</v>
      </c>
      <c r="B66" s="9" t="n">
        <v>971</v>
      </c>
      <c r="C66" s="9" t="n">
        <v>1911</v>
      </c>
      <c r="D66" s="9" t="n">
        <v>908</v>
      </c>
      <c r="E66" s="9" t="n">
        <v>887</v>
      </c>
      <c r="F66" s="9" t="n">
        <v>2139</v>
      </c>
      <c r="G66" s="9" t="n">
        <v>6816</v>
      </c>
      <c r="H66" s="9" t="n">
        <v>5</v>
      </c>
      <c r="I66" s="9" t="n">
        <v>0</v>
      </c>
    </row>
    <row r="67" customFormat="false" ht="15" hidden="false" customHeight="false" outlineLevel="0" collapsed="false">
      <c r="A67" s="8" t="s">
        <v>209</v>
      </c>
      <c r="B67" s="9" t="n">
        <v>282</v>
      </c>
      <c r="C67" s="9" t="n">
        <v>2691</v>
      </c>
      <c r="D67" s="9" t="n">
        <v>2692</v>
      </c>
      <c r="E67" s="9" t="n">
        <v>2721</v>
      </c>
      <c r="F67" s="9" t="n">
        <v>3725</v>
      </c>
      <c r="G67" s="9" t="n">
        <v>12111</v>
      </c>
      <c r="H67" s="9" t="n">
        <v>38</v>
      </c>
      <c r="I67" s="9" t="n">
        <v>35</v>
      </c>
    </row>
    <row r="68" customFormat="false" ht="15" hidden="false" customHeight="false" outlineLevel="0" collapsed="false">
      <c r="A68" s="8" t="s">
        <v>210</v>
      </c>
      <c r="B68" s="9" t="n">
        <v>711</v>
      </c>
      <c r="C68" s="9" t="n">
        <v>160</v>
      </c>
      <c r="D68" s="9" t="n">
        <v>86</v>
      </c>
      <c r="E68" s="9" t="n">
        <v>33</v>
      </c>
      <c r="F68" s="9" t="n">
        <v>0</v>
      </c>
      <c r="G68" s="9" t="n">
        <v>990</v>
      </c>
      <c r="H68" s="9" t="n">
        <v>1</v>
      </c>
      <c r="I68" s="9" t="n">
        <v>1</v>
      </c>
    </row>
    <row r="69" customFormat="false" ht="15" hidden="false" customHeight="false" outlineLevel="0" collapsed="false">
      <c r="A69" s="8" t="s">
        <v>211</v>
      </c>
      <c r="B69" s="9" t="n">
        <v>57</v>
      </c>
      <c r="C69" s="9" t="n">
        <v>910</v>
      </c>
      <c r="D69" s="9" t="n">
        <v>682</v>
      </c>
      <c r="E69" s="9" t="n">
        <v>1092</v>
      </c>
      <c r="F69" s="9" t="n">
        <v>17491</v>
      </c>
      <c r="G69" s="9" t="n">
        <v>20232</v>
      </c>
      <c r="H69" s="9" t="n">
        <v>597</v>
      </c>
      <c r="I69" s="9" t="n">
        <v>596</v>
      </c>
    </row>
    <row r="70" customFormat="false" ht="15" hidden="false" customHeight="false" outlineLevel="0" collapsed="false">
      <c r="A70" s="8" t="s">
        <v>212</v>
      </c>
      <c r="B70" s="9" t="n">
        <v>19522</v>
      </c>
      <c r="C70" s="9" t="n">
        <v>4616</v>
      </c>
      <c r="D70" s="9" t="n">
        <v>1431</v>
      </c>
      <c r="E70" s="9" t="n">
        <v>984</v>
      </c>
      <c r="F70" s="9" t="n">
        <v>724</v>
      </c>
      <c r="G70" s="9" t="n">
        <v>27277</v>
      </c>
      <c r="H70" s="9" t="n">
        <v>46</v>
      </c>
      <c r="I70" s="9" t="n">
        <v>6</v>
      </c>
    </row>
    <row r="71" customFormat="false" ht="15" hidden="false" customHeight="false" outlineLevel="0" collapsed="false">
      <c r="A71" s="8" t="s">
        <v>213</v>
      </c>
      <c r="B71" s="9" t="n">
        <v>17</v>
      </c>
      <c r="C71" s="9" t="n">
        <v>120</v>
      </c>
      <c r="D71" s="9" t="n">
        <v>225</v>
      </c>
      <c r="E71" s="9" t="n">
        <v>887</v>
      </c>
      <c r="F71" s="9" t="n">
        <v>23411</v>
      </c>
      <c r="G71" s="9" t="n">
        <v>24660</v>
      </c>
      <c r="H71" s="9" t="n">
        <v>112</v>
      </c>
      <c r="I71" s="9" t="n">
        <v>112</v>
      </c>
    </row>
    <row r="72" customFormat="false" ht="15" hidden="false" customHeight="false" outlineLevel="0" collapsed="false">
      <c r="A72" s="8" t="s">
        <v>214</v>
      </c>
      <c r="B72" s="9" t="n">
        <v>0</v>
      </c>
      <c r="C72" s="9" t="n">
        <v>0</v>
      </c>
      <c r="D72" s="9" t="n">
        <v>0</v>
      </c>
      <c r="E72" s="9" t="n">
        <v>0</v>
      </c>
      <c r="F72" s="9" t="n">
        <v>1264</v>
      </c>
      <c r="G72" s="9" t="n">
        <v>1264</v>
      </c>
      <c r="H72" s="9" t="n">
        <v>178</v>
      </c>
      <c r="I72" s="9" t="n">
        <v>178</v>
      </c>
    </row>
    <row r="73" customFormat="false" ht="15" hidden="false" customHeight="false" outlineLevel="0" collapsed="false">
      <c r="A73" s="8" t="s">
        <v>215</v>
      </c>
      <c r="B73" s="9" t="n">
        <v>1360</v>
      </c>
      <c r="C73" s="9" t="n">
        <v>426</v>
      </c>
      <c r="D73" s="9" t="n">
        <v>308</v>
      </c>
      <c r="E73" s="9" t="n">
        <v>1000</v>
      </c>
      <c r="F73" s="9" t="n">
        <v>727</v>
      </c>
      <c r="G73" s="9" t="n">
        <v>3821</v>
      </c>
      <c r="H73" s="9" t="n">
        <v>0</v>
      </c>
      <c r="I73" s="9" t="n">
        <v>0</v>
      </c>
    </row>
    <row r="74" customFormat="false" ht="15" hidden="false" customHeight="false" outlineLevel="0" collapsed="false">
      <c r="A74" s="8" t="s">
        <v>216</v>
      </c>
      <c r="B74" s="9" t="n">
        <v>3106</v>
      </c>
      <c r="C74" s="9" t="n">
        <v>483</v>
      </c>
      <c r="D74" s="9" t="n">
        <v>78</v>
      </c>
      <c r="E74" s="9" t="n">
        <v>85</v>
      </c>
      <c r="F74" s="9" t="n">
        <v>1173</v>
      </c>
      <c r="G74" s="9" t="n">
        <v>4925</v>
      </c>
      <c r="H74" s="9" t="n">
        <v>172</v>
      </c>
      <c r="I74" s="9" t="n">
        <v>170</v>
      </c>
    </row>
    <row r="75" customFormat="false" ht="15" hidden="false" customHeight="false" outlineLevel="0" collapsed="false">
      <c r="A75" s="8" t="s">
        <v>217</v>
      </c>
      <c r="B75" s="9" t="n">
        <v>12101</v>
      </c>
      <c r="C75" s="9" t="n">
        <v>1006</v>
      </c>
      <c r="D75" s="9" t="n">
        <v>194</v>
      </c>
      <c r="E75" s="9" t="n">
        <v>325</v>
      </c>
      <c r="F75" s="9" t="n">
        <v>603</v>
      </c>
      <c r="G75" s="9" t="n">
        <v>14229</v>
      </c>
      <c r="H75" s="9" t="n">
        <v>6</v>
      </c>
      <c r="I75" s="9" t="n">
        <v>0</v>
      </c>
    </row>
    <row r="76" customFormat="false" ht="15" hidden="false" customHeight="false" outlineLevel="0" collapsed="false">
      <c r="A76" s="8" t="s">
        <v>218</v>
      </c>
      <c r="B76" s="9" t="n">
        <v>116</v>
      </c>
      <c r="C76" s="9" t="n">
        <v>1030</v>
      </c>
      <c r="D76" s="9" t="n">
        <v>731</v>
      </c>
      <c r="E76" s="9" t="n">
        <v>1236</v>
      </c>
      <c r="F76" s="9" t="n">
        <v>9414</v>
      </c>
      <c r="G76" s="9" t="n">
        <v>12527</v>
      </c>
      <c r="H76" s="9" t="n">
        <v>2</v>
      </c>
      <c r="I76" s="9" t="n">
        <v>0</v>
      </c>
    </row>
    <row r="77" customFormat="false" ht="15" hidden="false" customHeight="false" outlineLevel="0" collapsed="false">
      <c r="A77" s="6" t="s">
        <v>219</v>
      </c>
      <c r="B77" s="11" t="n">
        <f aca="false">SUM(B36:B76)</f>
        <v>94517</v>
      </c>
      <c r="C77" s="11" t="n">
        <f aca="false">SUM(C36:C76)</f>
        <v>83143</v>
      </c>
      <c r="D77" s="11" t="n">
        <f aca="false">SUM(D36:D76)</f>
        <v>39777</v>
      </c>
      <c r="E77" s="11" t="n">
        <f aca="false">SUM(E36:E76)</f>
        <v>39716</v>
      </c>
      <c r="F77" s="11" t="n">
        <f aca="false">SUM(F36:F76)</f>
        <v>165805</v>
      </c>
      <c r="G77" s="11" t="n">
        <f aca="false">SUM(G36:G76)</f>
        <v>422958</v>
      </c>
      <c r="H77" s="11" t="n">
        <f aca="false">SUM(H36:H76)</f>
        <v>2669</v>
      </c>
      <c r="I77" s="11" t="n">
        <f aca="false">SUM(I36:I76)</f>
        <v>2406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8" min="6" style="0" width="18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4" t="s">
        <v>220</v>
      </c>
    </row>
    <row r="3" customFormat="false" ht="23.85" hidden="false" customHeight="false" outlineLevel="0" collapsed="false">
      <c r="A3" s="7" t="s">
        <v>221</v>
      </c>
      <c r="B3" s="7" t="s">
        <v>222</v>
      </c>
      <c r="C3" s="7" t="s">
        <v>223</v>
      </c>
      <c r="D3" s="7" t="s">
        <v>224</v>
      </c>
      <c r="E3" s="7" t="s">
        <v>225</v>
      </c>
      <c r="F3" s="7" t="s">
        <v>226</v>
      </c>
      <c r="G3" s="7" t="s">
        <v>29</v>
      </c>
    </row>
    <row r="4" customFormat="false" ht="15" hidden="false" customHeight="false" outlineLevel="0" collapsed="false">
      <c r="A4" s="8" t="n">
        <v>2006</v>
      </c>
      <c r="B4" s="9" t="n">
        <v>4275</v>
      </c>
      <c r="C4" s="9" t="n">
        <v>1358</v>
      </c>
      <c r="D4" s="9" t="n">
        <v>45</v>
      </c>
      <c r="E4" s="9" t="n">
        <v>285</v>
      </c>
      <c r="F4" s="9" t="n">
        <v>1598</v>
      </c>
      <c r="G4" s="8" t="s">
        <v>227</v>
      </c>
    </row>
    <row r="5" customFormat="false" ht="15" hidden="false" customHeight="false" outlineLevel="0" collapsed="false">
      <c r="A5" s="8" t="n">
        <v>2007</v>
      </c>
      <c r="B5" s="9" t="n">
        <v>3133</v>
      </c>
      <c r="C5" s="9" t="n">
        <v>2084</v>
      </c>
      <c r="D5" s="9" t="n">
        <v>37</v>
      </c>
      <c r="E5" s="9" t="n">
        <v>472</v>
      </c>
      <c r="F5" s="9" t="n">
        <v>2519</v>
      </c>
      <c r="G5" s="8" t="s">
        <v>227</v>
      </c>
    </row>
    <row r="6" customFormat="false" ht="15" hidden="false" customHeight="false" outlineLevel="0" collapsed="false">
      <c r="A6" s="8" t="n">
        <v>2008</v>
      </c>
      <c r="B6" s="9" t="n">
        <v>2355</v>
      </c>
      <c r="C6" s="9" t="n">
        <v>2142</v>
      </c>
      <c r="D6" s="9" t="n">
        <v>60</v>
      </c>
      <c r="E6" s="9" t="n">
        <v>188</v>
      </c>
      <c r="F6" s="9" t="n">
        <v>2270</v>
      </c>
      <c r="G6" s="8" t="s">
        <v>227</v>
      </c>
    </row>
    <row r="7" customFormat="false" ht="15" hidden="false" customHeight="false" outlineLevel="0" collapsed="false">
      <c r="A7" s="8" t="n">
        <v>2009</v>
      </c>
      <c r="B7" s="9" t="n">
        <v>288</v>
      </c>
      <c r="C7" s="9" t="n">
        <v>2639</v>
      </c>
      <c r="D7" s="9" t="n">
        <v>31</v>
      </c>
      <c r="E7" s="9" t="n">
        <v>469</v>
      </c>
      <c r="F7" s="9" t="n">
        <v>3077</v>
      </c>
      <c r="G7" s="8" t="s">
        <v>227</v>
      </c>
    </row>
    <row r="8" customFormat="false" ht="15" hidden="false" customHeight="false" outlineLevel="0" collapsed="false">
      <c r="A8" s="8" t="n">
        <v>2010</v>
      </c>
      <c r="B8" s="9" t="n">
        <v>314</v>
      </c>
      <c r="C8" s="9" t="n">
        <v>2737</v>
      </c>
      <c r="D8" s="9" t="n">
        <v>56</v>
      </c>
      <c r="E8" s="9" t="n">
        <v>282</v>
      </c>
      <c r="F8" s="9" t="n">
        <v>2963</v>
      </c>
      <c r="G8" s="8" t="s">
        <v>227</v>
      </c>
    </row>
    <row r="9" customFormat="false" ht="15" hidden="false" customHeight="false" outlineLevel="0" collapsed="false">
      <c r="A9" s="8" t="n">
        <v>2011</v>
      </c>
      <c r="B9" s="9" t="n">
        <v>2412</v>
      </c>
      <c r="C9" s="9" t="n">
        <v>809</v>
      </c>
      <c r="D9" s="9" t="n">
        <v>33</v>
      </c>
      <c r="E9" s="9" t="n">
        <v>-7</v>
      </c>
      <c r="F9" s="9" t="n">
        <v>769</v>
      </c>
      <c r="G9" s="8" t="s">
        <v>227</v>
      </c>
    </row>
    <row r="10" customFormat="false" ht="15" hidden="false" customHeight="false" outlineLevel="0" collapsed="false">
      <c r="A10" s="8" t="n">
        <v>2012</v>
      </c>
      <c r="B10" s="9" t="n">
        <v>2500</v>
      </c>
      <c r="C10" s="9" t="n">
        <v>289</v>
      </c>
      <c r="D10" s="9" t="n">
        <v>141</v>
      </c>
      <c r="E10" s="9" t="n">
        <v>345</v>
      </c>
      <c r="F10" s="9" t="n">
        <v>493</v>
      </c>
      <c r="G10" s="8" t="s">
        <v>227</v>
      </c>
    </row>
    <row r="11" customFormat="false" ht="15" hidden="false" customHeight="false" outlineLevel="0" collapsed="false">
      <c r="A11" s="8" t="n">
        <v>2013</v>
      </c>
      <c r="B11" s="9" t="n">
        <v>3221</v>
      </c>
      <c r="C11" s="9" t="n">
        <v>1859</v>
      </c>
      <c r="D11" s="9" t="n">
        <v>431</v>
      </c>
      <c r="E11" s="9" t="n">
        <v>240</v>
      </c>
      <c r="F11" s="9" t="n">
        <v>1668</v>
      </c>
      <c r="G11" s="8" t="s">
        <v>227</v>
      </c>
    </row>
    <row r="12" customFormat="false" ht="15" hidden="false" customHeight="false" outlineLevel="0" collapsed="false">
      <c r="A12" s="8" t="n">
        <v>2014</v>
      </c>
      <c r="B12" s="9" t="n">
        <v>5176</v>
      </c>
      <c r="C12" s="9" t="n">
        <v>2533</v>
      </c>
      <c r="D12" s="9" t="n">
        <v>95</v>
      </c>
      <c r="E12" s="9" t="n">
        <v>100</v>
      </c>
      <c r="F12" s="9" t="n">
        <v>2538</v>
      </c>
      <c r="G12" s="8" t="s">
        <v>227</v>
      </c>
    </row>
    <row r="13" customFormat="false" ht="15" hidden="false" customHeight="false" outlineLevel="0" collapsed="false">
      <c r="A13" s="8" t="n">
        <v>2015</v>
      </c>
      <c r="B13" s="9" t="n">
        <v>3605</v>
      </c>
      <c r="C13" s="9" t="n">
        <v>2497</v>
      </c>
      <c r="D13" s="9" t="n">
        <v>26</v>
      </c>
      <c r="E13" s="9" t="n">
        <v>131</v>
      </c>
      <c r="F13" s="9" t="n">
        <v>2602</v>
      </c>
      <c r="G13" s="8" t="s">
        <v>227</v>
      </c>
    </row>
    <row r="14" customFormat="false" ht="15" hidden="false" customHeight="false" outlineLevel="0" collapsed="false">
      <c r="A14" s="8" t="n">
        <v>2016</v>
      </c>
      <c r="B14" s="9" t="n">
        <v>2606</v>
      </c>
      <c r="C14" s="9" t="n">
        <v>2169</v>
      </c>
      <c r="D14" s="9" t="n">
        <v>23</v>
      </c>
      <c r="E14" s="9" t="n">
        <v>814</v>
      </c>
      <c r="F14" s="9" t="n">
        <v>2960</v>
      </c>
      <c r="G14" s="8" t="s">
        <v>227</v>
      </c>
    </row>
    <row r="15" customFormat="false" ht="15" hidden="false" customHeight="false" outlineLevel="0" collapsed="false">
      <c r="A15" s="8" t="n">
        <v>2017</v>
      </c>
      <c r="B15" s="9" t="n">
        <v>4560</v>
      </c>
      <c r="C15" s="9" t="n">
        <v>4972</v>
      </c>
      <c r="D15" s="9" t="n">
        <v>24</v>
      </c>
      <c r="E15" s="9" t="n">
        <v>376</v>
      </c>
      <c r="F15" s="9" t="n">
        <v>5324</v>
      </c>
      <c r="G15" s="8" t="s">
        <v>227</v>
      </c>
    </row>
    <row r="16" customFormat="false" ht="15" hidden="false" customHeight="false" outlineLevel="0" collapsed="false">
      <c r="A16" s="8" t="n">
        <v>2018</v>
      </c>
      <c r="B16" s="9" t="n">
        <v>4343</v>
      </c>
      <c r="C16" s="9" t="n">
        <v>3678</v>
      </c>
      <c r="D16" s="9" t="n">
        <v>50</v>
      </c>
      <c r="E16" s="9" t="n">
        <v>340</v>
      </c>
      <c r="F16" s="9" t="n">
        <v>3968</v>
      </c>
      <c r="G16" s="8" t="s">
        <v>227</v>
      </c>
    </row>
    <row r="17" customFormat="false" ht="15" hidden="false" customHeight="false" outlineLevel="0" collapsed="false">
      <c r="A17" s="8" t="n">
        <v>2019</v>
      </c>
      <c r="B17" s="9" t="n">
        <v>3975</v>
      </c>
      <c r="C17" s="9" t="n">
        <v>4449</v>
      </c>
      <c r="D17" s="9" t="n">
        <v>142</v>
      </c>
      <c r="E17" s="9" t="n">
        <v>363</v>
      </c>
      <c r="F17" s="9" t="n">
        <v>4670</v>
      </c>
      <c r="G17" s="8" t="s">
        <v>227</v>
      </c>
    </row>
    <row r="18" customFormat="false" ht="15" hidden="false" customHeight="false" outlineLevel="0" collapsed="false">
      <c r="A18" s="8" t="n">
        <v>2020</v>
      </c>
      <c r="B18" s="9" t="n">
        <v>3102</v>
      </c>
      <c r="C18" s="9" t="n">
        <v>4996</v>
      </c>
      <c r="D18" s="9" t="n">
        <v>352</v>
      </c>
      <c r="E18" s="9" t="n">
        <v>439</v>
      </c>
      <c r="F18" s="9" t="n">
        <v>5083</v>
      </c>
      <c r="G18" s="8" t="s">
        <v>227</v>
      </c>
    </row>
    <row r="19" customFormat="false" ht="15" hidden="false" customHeight="false" outlineLevel="0" collapsed="false">
      <c r="A19" s="8" t="n">
        <v>2021</v>
      </c>
      <c r="B19" s="9" t="n">
        <v>1835</v>
      </c>
      <c r="C19" s="9" t="n">
        <v>4165</v>
      </c>
      <c r="D19" s="9" t="n">
        <v>12</v>
      </c>
      <c r="E19" s="9" t="n">
        <v>468</v>
      </c>
      <c r="F19" s="9" t="n">
        <v>4621</v>
      </c>
      <c r="G19" s="8" t="s">
        <v>227</v>
      </c>
    </row>
    <row r="20" customFormat="false" ht="15" hidden="false" customHeight="false" outlineLevel="0" collapsed="false">
      <c r="A20" s="8" t="n">
        <v>2022</v>
      </c>
      <c r="B20" s="9" t="n">
        <v>2898</v>
      </c>
      <c r="C20" s="9" t="n">
        <v>2244</v>
      </c>
      <c r="D20" s="9" t="n">
        <v>98</v>
      </c>
      <c r="E20" s="9" t="n">
        <v>635</v>
      </c>
      <c r="F20" s="9" t="n">
        <v>2781</v>
      </c>
      <c r="G20" s="8" t="s">
        <v>227</v>
      </c>
    </row>
    <row r="21" customFormat="false" ht="15" hidden="false" customHeight="false" outlineLevel="0" collapsed="false">
      <c r="A21" s="8" t="n">
        <v>2023</v>
      </c>
      <c r="B21" s="9" t="n">
        <v>2997</v>
      </c>
      <c r="C21" s="9" t="n">
        <v>2059</v>
      </c>
      <c r="D21" s="9" t="n">
        <v>13</v>
      </c>
      <c r="E21" s="9" t="n">
        <v>498</v>
      </c>
      <c r="F21" s="9" t="n">
        <v>2544</v>
      </c>
      <c r="G21" s="8" t="s">
        <v>227</v>
      </c>
    </row>
    <row r="22" customFormat="false" ht="15" hidden="false" customHeight="false" outlineLevel="0" collapsed="false">
      <c r="A22" s="8" t="n">
        <v>2024</v>
      </c>
      <c r="B22" s="9" t="n">
        <v>1031</v>
      </c>
      <c r="C22" s="9" t="n">
        <v>1457</v>
      </c>
      <c r="D22" s="9" t="n">
        <v>132</v>
      </c>
      <c r="E22" s="9" t="n">
        <v>278</v>
      </c>
      <c r="F22" s="9" t="n">
        <v>1603</v>
      </c>
      <c r="G22" s="8" t="s">
        <v>227</v>
      </c>
    </row>
    <row r="23" customFormat="false" ht="15" hidden="false" customHeight="false" outlineLevel="0" collapsed="false">
      <c r="A23" s="8" t="n">
        <v>2025</v>
      </c>
      <c r="B23" s="9" t="n">
        <v>1900</v>
      </c>
      <c r="C23" s="9" t="n">
        <v>2406</v>
      </c>
      <c r="D23" s="9" t="n">
        <v>6</v>
      </c>
      <c r="E23" s="9" t="n">
        <v>269</v>
      </c>
      <c r="F23" s="9" t="n">
        <v>2669</v>
      </c>
      <c r="G23" s="8" t="s">
        <v>227</v>
      </c>
    </row>
    <row r="24" customFormat="false" ht="15" hidden="false" customHeight="false" outlineLevel="0" collapsed="false">
      <c r="A24" s="8" t="s">
        <v>228</v>
      </c>
      <c r="C24" s="9" t="n">
        <v>405</v>
      </c>
      <c r="G24" s="8" t="s">
        <v>229</v>
      </c>
    </row>
    <row r="25" customFormat="false" ht="15" hidden="false" customHeight="false" outlineLevel="0" collapsed="false">
      <c r="A25" s="6" t="s">
        <v>230</v>
      </c>
      <c r="B25" s="11" t="n">
        <f aca="false">AVERAGE(B14:B23)</f>
        <v>2924.7</v>
      </c>
      <c r="C25" s="11" t="n">
        <f aca="false">AVERAGE(C14:C23)</f>
        <v>3259.5</v>
      </c>
      <c r="D25" s="11" t="n">
        <f aca="false">AVERAGE(D14:D23)</f>
        <v>85.2</v>
      </c>
      <c r="E25" s="11" t="n">
        <f aca="false">AVERAGE(E14:E23)</f>
        <v>448</v>
      </c>
      <c r="F25" s="11" t="n">
        <f aca="false">AVERAGE(F14:F23)</f>
        <v>3622.3</v>
      </c>
    </row>
    <row r="27" customFormat="false" ht="15" hidden="false" customHeight="false" outlineLevel="0" collapsed="false">
      <c r="A27" s="6" t="s">
        <v>231</v>
      </c>
    </row>
    <row r="28" customFormat="false" ht="15" hidden="false" customHeight="false" outlineLevel="0" collapsed="false">
      <c r="A28" s="7" t="s">
        <v>221</v>
      </c>
      <c r="B28" s="7" t="s">
        <v>112</v>
      </c>
      <c r="C28" s="7" t="s">
        <v>232</v>
      </c>
      <c r="D28" s="7" t="s">
        <v>233</v>
      </c>
      <c r="E28" s="7" t="s">
        <v>234</v>
      </c>
      <c r="F28" s="7" t="s">
        <v>235</v>
      </c>
      <c r="G28" s="7" t="s">
        <v>76</v>
      </c>
    </row>
    <row r="29" customFormat="false" ht="15" hidden="false" customHeight="false" outlineLevel="0" collapsed="false">
      <c r="A29" s="8" t="n">
        <v>2021</v>
      </c>
      <c r="B29" s="9" t="n">
        <v>26</v>
      </c>
      <c r="C29" s="9" t="n">
        <v>229</v>
      </c>
      <c r="D29" s="9" t="n">
        <v>114</v>
      </c>
      <c r="E29" s="9" t="n">
        <v>109</v>
      </c>
      <c r="F29" s="9" t="n">
        <v>4160</v>
      </c>
      <c r="G29" s="9" t="n">
        <v>4638</v>
      </c>
    </row>
    <row r="30" customFormat="false" ht="15" hidden="false" customHeight="false" outlineLevel="0" collapsed="false">
      <c r="A30" s="8" t="n">
        <v>2022</v>
      </c>
      <c r="B30" s="9" t="n">
        <v>16</v>
      </c>
      <c r="C30" s="9" t="n">
        <v>211</v>
      </c>
      <c r="D30" s="9" t="n">
        <v>100</v>
      </c>
      <c r="E30" s="9" t="n">
        <v>59</v>
      </c>
      <c r="F30" s="9" t="n">
        <v>2495</v>
      </c>
      <c r="G30" s="9" t="n">
        <v>2881</v>
      </c>
    </row>
    <row r="31" customFormat="false" ht="15" hidden="false" customHeight="false" outlineLevel="0" collapsed="false">
      <c r="A31" s="8" t="n">
        <v>2023</v>
      </c>
      <c r="B31" s="9" t="n">
        <v>32</v>
      </c>
      <c r="C31" s="9" t="n">
        <v>192</v>
      </c>
      <c r="D31" s="9" t="n">
        <v>81</v>
      </c>
      <c r="E31" s="9" t="n">
        <v>69</v>
      </c>
      <c r="F31" s="9" t="n">
        <v>2207</v>
      </c>
      <c r="G31" s="9" t="n">
        <v>2581</v>
      </c>
    </row>
    <row r="32" customFormat="false" ht="15" hidden="false" customHeight="false" outlineLevel="0" collapsed="false">
      <c r="A32" s="8" t="n">
        <v>2024</v>
      </c>
      <c r="B32" s="9" t="n">
        <v>33</v>
      </c>
      <c r="C32" s="9" t="n">
        <v>166</v>
      </c>
      <c r="D32" s="9" t="n">
        <v>70</v>
      </c>
      <c r="E32" s="9" t="n">
        <v>97</v>
      </c>
      <c r="F32" s="9" t="n">
        <v>1375</v>
      </c>
      <c r="G32" s="9" t="n">
        <v>1741</v>
      </c>
    </row>
    <row r="33" customFormat="false" ht="15" hidden="false" customHeight="false" outlineLevel="0" collapsed="false">
      <c r="A33" s="8" t="n">
        <v>2025</v>
      </c>
      <c r="B33" s="9" t="n">
        <v>26</v>
      </c>
      <c r="C33" s="9" t="n">
        <v>157</v>
      </c>
      <c r="D33" s="9" t="n">
        <v>37</v>
      </c>
      <c r="E33" s="9" t="n">
        <v>67</v>
      </c>
      <c r="F33" s="9" t="n">
        <v>2395</v>
      </c>
      <c r="G33" s="9" t="n">
        <v>2682</v>
      </c>
    </row>
    <row r="35" customFormat="false" ht="15" hidden="false" customHeight="false" outlineLevel="0" collapsed="false">
      <c r="A35" s="6" t="s">
        <v>236</v>
      </c>
    </row>
    <row r="36" customFormat="false" ht="23.85" hidden="false" customHeight="false" outlineLevel="0" collapsed="false">
      <c r="A36" s="7" t="s">
        <v>221</v>
      </c>
      <c r="B36" s="7" t="s">
        <v>237</v>
      </c>
      <c r="C36" s="7" t="s">
        <v>238</v>
      </c>
      <c r="D36" s="7" t="s">
        <v>239</v>
      </c>
      <c r="E36" s="7" t="s">
        <v>240</v>
      </c>
      <c r="F36" s="7" t="s">
        <v>241</v>
      </c>
      <c r="G36" s="7" t="s">
        <v>242</v>
      </c>
      <c r="H36" s="7" t="s">
        <v>243</v>
      </c>
      <c r="I36" s="7" t="s">
        <v>244</v>
      </c>
    </row>
    <row r="37" customFormat="false" ht="15" hidden="false" customHeight="false" outlineLevel="0" collapsed="false">
      <c r="A37" s="8" t="n">
        <v>2021</v>
      </c>
      <c r="B37" s="9" t="n">
        <v>34</v>
      </c>
      <c r="C37" s="9" t="n">
        <v>529</v>
      </c>
      <c r="D37" s="9" t="n">
        <v>551</v>
      </c>
      <c r="E37" s="9" t="n">
        <v>98</v>
      </c>
      <c r="F37" s="9" t="n">
        <v>296</v>
      </c>
      <c r="G37" s="9" t="n">
        <v>1508</v>
      </c>
      <c r="H37" s="9" t="n">
        <v>4638</v>
      </c>
      <c r="I37" s="13" t="n">
        <f aca="false">G37/H37</f>
        <v>0.32514014661492</v>
      </c>
    </row>
    <row r="38" customFormat="false" ht="15" hidden="false" customHeight="false" outlineLevel="0" collapsed="false">
      <c r="A38" s="8" t="n">
        <v>2022</v>
      </c>
      <c r="B38" s="9" t="n">
        <v>188</v>
      </c>
      <c r="C38" s="9" t="n">
        <v>461</v>
      </c>
      <c r="D38" s="9" t="n">
        <v>206</v>
      </c>
      <c r="E38" s="9" t="n">
        <v>70</v>
      </c>
      <c r="F38" s="9" t="n">
        <v>270</v>
      </c>
      <c r="G38" s="9" t="n">
        <v>1195</v>
      </c>
      <c r="H38" s="9" t="n">
        <v>2881</v>
      </c>
      <c r="I38" s="13" t="n">
        <f aca="false">G38/H38</f>
        <v>0.414786532454009</v>
      </c>
    </row>
    <row r="39" customFormat="false" ht="15" hidden="false" customHeight="false" outlineLevel="0" collapsed="false">
      <c r="A39" s="8" t="n">
        <v>2023</v>
      </c>
      <c r="B39" s="9" t="n">
        <v>0</v>
      </c>
      <c r="C39" s="9" t="n">
        <v>209</v>
      </c>
      <c r="D39" s="9" t="n">
        <v>288</v>
      </c>
      <c r="E39" s="9" t="n">
        <v>212</v>
      </c>
      <c r="F39" s="9" t="n">
        <v>237</v>
      </c>
      <c r="G39" s="9" t="n">
        <v>946</v>
      </c>
      <c r="H39" s="9" t="n">
        <v>2581</v>
      </c>
      <c r="I39" s="13" t="n">
        <f aca="false">G39/H39</f>
        <v>0.366524602867106</v>
      </c>
    </row>
    <row r="40" customFormat="false" ht="15" hidden="false" customHeight="false" outlineLevel="0" collapsed="false">
      <c r="A40" s="8" t="n">
        <v>2024</v>
      </c>
      <c r="B40" s="9" t="n">
        <v>100</v>
      </c>
      <c r="C40" s="9" t="n">
        <v>182</v>
      </c>
      <c r="D40" s="9" t="n">
        <v>327</v>
      </c>
      <c r="E40" s="9" t="n">
        <v>294</v>
      </c>
      <c r="F40" s="9" t="n">
        <v>212</v>
      </c>
      <c r="G40" s="9" t="n">
        <v>1115</v>
      </c>
      <c r="H40" s="9" t="n">
        <v>1741</v>
      </c>
      <c r="I40" s="13" t="n">
        <f aca="false">G40/H40</f>
        <v>0.640436530729466</v>
      </c>
    </row>
    <row r="41" customFormat="false" ht="15" hidden="false" customHeight="false" outlineLevel="0" collapsed="false">
      <c r="A41" s="8" t="n">
        <v>2025</v>
      </c>
      <c r="B41" s="9" t="n">
        <v>216</v>
      </c>
      <c r="C41" s="9" t="n">
        <v>801</v>
      </c>
      <c r="D41" s="9" t="n">
        <v>495</v>
      </c>
      <c r="E41" s="9" t="n">
        <v>45</v>
      </c>
      <c r="F41" s="9" t="n">
        <v>201</v>
      </c>
      <c r="G41" s="9" t="n">
        <v>1758</v>
      </c>
      <c r="H41" s="9" t="n">
        <v>2682</v>
      </c>
      <c r="I41" s="13" t="n">
        <f aca="false">G41/H41</f>
        <v>0.655480984340045</v>
      </c>
    </row>
    <row r="43" customFormat="false" ht="15" hidden="false" customHeight="false" outlineLevel="0" collapsed="false">
      <c r="A43" s="6" t="s">
        <v>245</v>
      </c>
    </row>
    <row r="44" customFormat="false" ht="23.85" hidden="false" customHeight="false" outlineLevel="0" collapsed="false">
      <c r="A44" s="7" t="s">
        <v>221</v>
      </c>
      <c r="B44" s="7" t="s">
        <v>246</v>
      </c>
      <c r="C44" s="7" t="s">
        <v>247</v>
      </c>
      <c r="D44" s="7" t="s">
        <v>248</v>
      </c>
      <c r="E44" s="7" t="s">
        <v>76</v>
      </c>
    </row>
    <row r="45" customFormat="false" ht="15" hidden="false" customHeight="false" outlineLevel="0" collapsed="false">
      <c r="A45" s="8" t="n">
        <v>2021</v>
      </c>
      <c r="B45" s="9" t="n">
        <v>226</v>
      </c>
      <c r="C45" s="9" t="n">
        <v>986</v>
      </c>
      <c r="D45" s="9" t="n">
        <v>297</v>
      </c>
      <c r="E45" s="9" t="n">
        <v>1509</v>
      </c>
    </row>
    <row r="46" customFormat="false" ht="15" hidden="false" customHeight="false" outlineLevel="0" collapsed="false">
      <c r="A46" s="8" t="n">
        <v>2022</v>
      </c>
      <c r="B46" s="9" t="n">
        <v>197</v>
      </c>
      <c r="C46" s="9" t="n">
        <v>728</v>
      </c>
      <c r="D46" s="9" t="n">
        <v>270</v>
      </c>
      <c r="E46" s="9" t="n">
        <v>1195</v>
      </c>
    </row>
    <row r="47" customFormat="false" ht="15" hidden="false" customHeight="false" outlineLevel="0" collapsed="false">
      <c r="A47" s="8" t="n">
        <v>2023</v>
      </c>
      <c r="B47" s="9" t="n">
        <v>144</v>
      </c>
      <c r="C47" s="9" t="n">
        <v>585</v>
      </c>
      <c r="D47" s="9" t="n">
        <v>239</v>
      </c>
      <c r="E47" s="9" t="n">
        <v>968</v>
      </c>
    </row>
    <row r="48" customFormat="false" ht="15" hidden="false" customHeight="false" outlineLevel="0" collapsed="false">
      <c r="A48" s="8" t="n">
        <v>2024</v>
      </c>
      <c r="B48" s="9" t="n">
        <v>83</v>
      </c>
      <c r="C48" s="9" t="n">
        <v>820</v>
      </c>
      <c r="D48" s="9" t="n">
        <v>212</v>
      </c>
      <c r="E48" s="9" t="n">
        <v>1115</v>
      </c>
    </row>
    <row r="49" customFormat="false" ht="15" hidden="false" customHeight="false" outlineLevel="0" collapsed="false">
      <c r="A49" s="8" t="n">
        <v>2025</v>
      </c>
      <c r="B49" s="9" t="n">
        <v>117</v>
      </c>
      <c r="C49" s="9" t="n">
        <v>1440</v>
      </c>
      <c r="D49" s="9" t="n">
        <v>201</v>
      </c>
      <c r="E49" s="9" t="n">
        <v>1758</v>
      </c>
    </row>
    <row r="51" customFormat="false" ht="15" hidden="false" customHeight="false" outlineLevel="0" collapsed="false">
      <c r="A51" s="6" t="s">
        <v>249</v>
      </c>
    </row>
    <row r="52" customFormat="false" ht="15" hidden="false" customHeight="false" outlineLevel="0" collapsed="false">
      <c r="A52" s="7" t="s">
        <v>221</v>
      </c>
      <c r="B52" s="7" t="s">
        <v>112</v>
      </c>
      <c r="C52" s="7" t="s">
        <v>232</v>
      </c>
      <c r="D52" s="7" t="s">
        <v>233</v>
      </c>
      <c r="E52" s="7" t="s">
        <v>234</v>
      </c>
      <c r="F52" s="7" t="s">
        <v>235</v>
      </c>
      <c r="G52" s="7" t="s">
        <v>250</v>
      </c>
      <c r="H52" s="7" t="s">
        <v>66</v>
      </c>
    </row>
    <row r="53" customFormat="false" ht="15" hidden="false" customHeight="false" outlineLevel="0" collapsed="false">
      <c r="A53" s="8" t="n">
        <v>2021</v>
      </c>
      <c r="B53" s="9" t="n">
        <v>44</v>
      </c>
      <c r="C53" s="9" t="n">
        <v>275</v>
      </c>
      <c r="D53" s="9" t="n">
        <v>81</v>
      </c>
      <c r="E53" s="9" t="n">
        <v>118</v>
      </c>
      <c r="F53" s="9" t="n">
        <v>1435</v>
      </c>
      <c r="G53" s="9" t="n">
        <v>1953</v>
      </c>
      <c r="H53" s="9" t="n">
        <v>394</v>
      </c>
    </row>
    <row r="54" customFormat="false" ht="15" hidden="false" customHeight="false" outlineLevel="0" collapsed="false">
      <c r="A54" s="8" t="n">
        <v>2022</v>
      </c>
      <c r="B54" s="9" t="n">
        <v>39</v>
      </c>
      <c r="C54" s="9" t="n">
        <v>241</v>
      </c>
      <c r="D54" s="9" t="n">
        <v>115</v>
      </c>
      <c r="E54" s="9" t="n">
        <v>145</v>
      </c>
      <c r="F54" s="9" t="n">
        <v>2390</v>
      </c>
      <c r="G54" s="9" t="n">
        <v>2930</v>
      </c>
      <c r="H54" s="9" t="n">
        <v>368</v>
      </c>
    </row>
    <row r="55" customFormat="false" ht="15" hidden="false" customHeight="false" outlineLevel="0" collapsed="false">
      <c r="A55" s="8" t="n">
        <v>2023</v>
      </c>
      <c r="B55" s="9" t="n">
        <v>41</v>
      </c>
      <c r="C55" s="9" t="n">
        <v>190</v>
      </c>
      <c r="D55" s="9" t="n">
        <v>63</v>
      </c>
      <c r="E55" s="9" t="n">
        <v>79</v>
      </c>
      <c r="F55" s="9" t="n">
        <v>2763</v>
      </c>
      <c r="G55" s="9" t="n">
        <v>3136</v>
      </c>
      <c r="H55" s="9" t="n">
        <v>288</v>
      </c>
    </row>
    <row r="56" customFormat="false" ht="15" hidden="false" customHeight="false" outlineLevel="0" collapsed="false">
      <c r="A56" s="8" t="n">
        <v>2024</v>
      </c>
      <c r="B56" s="9" t="n">
        <v>32</v>
      </c>
      <c r="C56" s="9" t="n">
        <v>180</v>
      </c>
      <c r="D56" s="9" t="n">
        <v>38</v>
      </c>
      <c r="E56" s="9" t="n">
        <v>45</v>
      </c>
      <c r="F56" s="9" t="n">
        <v>786</v>
      </c>
      <c r="G56" s="9" t="n">
        <v>1081</v>
      </c>
      <c r="H56" s="9" t="n">
        <v>244</v>
      </c>
    </row>
    <row r="57" customFormat="false" ht="15" hidden="false" customHeight="false" outlineLevel="0" collapsed="false">
      <c r="A57" s="8" t="n">
        <v>2025</v>
      </c>
      <c r="B57" s="9" t="n">
        <v>29</v>
      </c>
      <c r="C57" s="9" t="n">
        <v>183</v>
      </c>
      <c r="D57" s="9" t="n">
        <v>18</v>
      </c>
      <c r="E57" s="9" t="n">
        <v>16</v>
      </c>
      <c r="F57" s="9" t="n">
        <v>1707</v>
      </c>
      <c r="G57" s="9" t="n">
        <v>1953</v>
      </c>
      <c r="H57" s="9" t="n">
        <v>216</v>
      </c>
    </row>
    <row r="59" customFormat="false" ht="15" hidden="false" customHeight="false" outlineLevel="0" collapsed="false">
      <c r="A59" s="6" t="s">
        <v>251</v>
      </c>
    </row>
    <row r="60" customFormat="false" ht="23.85" hidden="false" customHeight="false" outlineLevel="0" collapsed="false">
      <c r="A60" s="7" t="s">
        <v>221</v>
      </c>
      <c r="B60" s="7" t="s">
        <v>252</v>
      </c>
      <c r="C60" s="7" t="s">
        <v>253</v>
      </c>
      <c r="D60" s="7" t="s">
        <v>254</v>
      </c>
      <c r="E60" s="7" t="s">
        <v>255</v>
      </c>
    </row>
    <row r="61" customFormat="false" ht="15" hidden="false" customHeight="false" outlineLevel="0" collapsed="false">
      <c r="A61" s="8" t="n">
        <v>2021</v>
      </c>
      <c r="B61" s="9" t="n">
        <v>423</v>
      </c>
      <c r="C61" s="9" t="n">
        <v>8041</v>
      </c>
      <c r="D61" s="9" t="n">
        <v>415</v>
      </c>
      <c r="E61" s="9" t="n">
        <v>3796</v>
      </c>
    </row>
    <row r="62" customFormat="false" ht="15" hidden="false" customHeight="false" outlineLevel="0" collapsed="false">
      <c r="A62" s="8" t="n">
        <v>2022</v>
      </c>
      <c r="B62" s="9" t="n">
        <v>333</v>
      </c>
      <c r="C62" s="9" t="n">
        <v>2602</v>
      </c>
      <c r="D62" s="9" t="n">
        <v>235</v>
      </c>
      <c r="E62" s="9" t="n">
        <v>2893</v>
      </c>
    </row>
    <row r="63" customFormat="false" ht="15" hidden="false" customHeight="false" outlineLevel="0" collapsed="false">
      <c r="A63" s="8" t="n">
        <v>2023</v>
      </c>
      <c r="B63" s="9" t="n">
        <v>247</v>
      </c>
      <c r="C63" s="9" t="n">
        <v>2674</v>
      </c>
      <c r="D63" s="9" t="n">
        <v>294</v>
      </c>
      <c r="E63" s="9" t="n">
        <v>3045</v>
      </c>
    </row>
    <row r="64" customFormat="false" ht="15" hidden="false" customHeight="false" outlineLevel="0" collapsed="false">
      <c r="A64" s="8" t="n">
        <v>2024</v>
      </c>
      <c r="B64" s="9" t="n">
        <v>241</v>
      </c>
      <c r="C64" s="9" t="n">
        <v>2517</v>
      </c>
      <c r="D64" s="9" t="n">
        <v>245</v>
      </c>
      <c r="E64" s="9" t="n">
        <v>5739</v>
      </c>
    </row>
    <row r="65" customFormat="false" ht="15" hidden="false" customHeight="false" outlineLevel="0" collapsed="false">
      <c r="A65" s="8" t="n">
        <v>2025</v>
      </c>
      <c r="B65" s="9" t="n">
        <v>289</v>
      </c>
      <c r="C65" s="9" t="n">
        <v>9614</v>
      </c>
      <c r="D65" s="9" t="n">
        <v>274</v>
      </c>
      <c r="E65" s="9" t="n">
        <v>3723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4" t="s">
        <v>256</v>
      </c>
    </row>
    <row r="3" customFormat="false" ht="15" hidden="false" customHeight="false" outlineLevel="0" collapsed="false">
      <c r="A3" s="7" t="s">
        <v>257</v>
      </c>
      <c r="B3" s="7" t="s">
        <v>258</v>
      </c>
      <c r="C3" s="7" t="s">
        <v>259</v>
      </c>
      <c r="D3" s="7" t="s">
        <v>260</v>
      </c>
    </row>
    <row r="4" customFormat="false" ht="15" hidden="false" customHeight="false" outlineLevel="0" collapsed="false">
      <c r="A4" s="8" t="s">
        <v>71</v>
      </c>
      <c r="B4" s="9" t="n">
        <v>3301</v>
      </c>
      <c r="C4" s="13" t="n">
        <f aca="false">B4/$B$11</f>
        <v>0.044079158209593</v>
      </c>
      <c r="D4" s="8" t="s">
        <v>261</v>
      </c>
    </row>
    <row r="5" customFormat="false" ht="15" hidden="false" customHeight="false" outlineLevel="0" collapsed="false">
      <c r="A5" s="8" t="s">
        <v>262</v>
      </c>
      <c r="B5" s="9" t="n">
        <v>1219</v>
      </c>
      <c r="C5" s="13" t="n">
        <f aca="false">B5/$B$11</f>
        <v>0.0162776412776413</v>
      </c>
      <c r="D5" s="8" t="s">
        <v>263</v>
      </c>
    </row>
    <row r="6" customFormat="false" ht="15" hidden="false" customHeight="false" outlineLevel="0" collapsed="false">
      <c r="A6" s="8" t="s">
        <v>264</v>
      </c>
      <c r="B6" s="9" t="n">
        <v>2422</v>
      </c>
      <c r="C6" s="13" t="n">
        <f aca="false">B6/$B$11</f>
        <v>0.0323416301677171</v>
      </c>
      <c r="D6" s="8" t="s">
        <v>265</v>
      </c>
    </row>
    <row r="7" customFormat="false" ht="15" hidden="false" customHeight="false" outlineLevel="0" collapsed="false">
      <c r="A7" s="8" t="s">
        <v>266</v>
      </c>
      <c r="B7" s="9" t="n">
        <v>7856</v>
      </c>
      <c r="C7" s="13" t="n">
        <f aca="false">B7/$B$11</f>
        <v>0.104903322294627</v>
      </c>
      <c r="D7" s="8" t="s">
        <v>267</v>
      </c>
    </row>
    <row r="8" customFormat="false" ht="15" hidden="false" customHeight="false" outlineLevel="0" collapsed="false">
      <c r="A8" s="8" t="s">
        <v>268</v>
      </c>
      <c r="B8" s="9" t="n">
        <v>9477</v>
      </c>
      <c r="C8" s="13" t="n">
        <f aca="false">B8/$B$11</f>
        <v>0.126548979809849</v>
      </c>
      <c r="D8" s="8" t="s">
        <v>269</v>
      </c>
    </row>
    <row r="9" customFormat="false" ht="15" hidden="false" customHeight="false" outlineLevel="0" collapsed="false">
      <c r="A9" s="8" t="s">
        <v>270</v>
      </c>
      <c r="B9" s="9" t="n">
        <v>13036</v>
      </c>
      <c r="C9" s="13" t="n">
        <f aca="false">B9/$B$11</f>
        <v>0.174073282768935</v>
      </c>
      <c r="D9" s="8" t="s">
        <v>271</v>
      </c>
    </row>
    <row r="10" customFormat="false" ht="15" hidden="false" customHeight="false" outlineLevel="0" collapsed="false">
      <c r="A10" s="8" t="s">
        <v>272</v>
      </c>
      <c r="B10" s="9" t="n">
        <v>37577</v>
      </c>
      <c r="C10" s="13" t="n">
        <f aca="false">B10/$B$11</f>
        <v>0.501775985471638</v>
      </c>
      <c r="D10" s="8" t="s">
        <v>273</v>
      </c>
    </row>
    <row r="11" customFormat="false" ht="15" hidden="false" customHeight="false" outlineLevel="0" collapsed="false">
      <c r="A11" s="6" t="s">
        <v>274</v>
      </c>
      <c r="B11" s="11" t="n">
        <f aca="false">SUM(B4:B10)</f>
        <v>74888</v>
      </c>
      <c r="C11" s="14" t="n">
        <v>1</v>
      </c>
    </row>
    <row r="12" customFormat="false" ht="15" hidden="false" customHeight="false" outlineLevel="0" collapsed="false">
      <c r="A12" s="8" t="s">
        <v>275</v>
      </c>
      <c r="B12" s="9" t="n">
        <v>18536</v>
      </c>
      <c r="C12" s="13" t="n">
        <f aca="false">B12/B11</f>
        <v>0.247516290994552</v>
      </c>
      <c r="D12" s="8" t="s">
        <v>276</v>
      </c>
    </row>
    <row r="13" customFormat="false" ht="15" hidden="false" customHeight="false" outlineLevel="0" collapsed="false">
      <c r="A13" s="5" t="s">
        <v>277</v>
      </c>
    </row>
    <row r="15" customFormat="false" ht="15" hidden="false" customHeight="false" outlineLevel="0" collapsed="false">
      <c r="A15" s="6" t="s">
        <v>278</v>
      </c>
    </row>
    <row r="16" customFormat="false" ht="46.25" hidden="false" customHeight="false" outlineLevel="0" collapsed="false">
      <c r="A16" s="7" t="s">
        <v>279</v>
      </c>
      <c r="B16" s="7" t="s">
        <v>280</v>
      </c>
      <c r="C16" s="7" t="s">
        <v>281</v>
      </c>
    </row>
    <row r="17" customFormat="false" ht="15" hidden="false" customHeight="false" outlineLevel="0" collapsed="false">
      <c r="A17" s="8" t="s">
        <v>282</v>
      </c>
      <c r="B17" s="9" t="n">
        <v>9637</v>
      </c>
      <c r="C17" s="8" t="s">
        <v>283</v>
      </c>
    </row>
    <row r="18" customFormat="false" ht="15" hidden="false" customHeight="false" outlineLevel="0" collapsed="false">
      <c r="A18" s="8" t="s">
        <v>214</v>
      </c>
      <c r="B18" s="9" t="n">
        <v>6273</v>
      </c>
      <c r="C18" s="8" t="s">
        <v>284</v>
      </c>
    </row>
    <row r="19" customFormat="false" ht="15" hidden="false" customHeight="false" outlineLevel="0" collapsed="false">
      <c r="A19" s="8" t="s">
        <v>285</v>
      </c>
      <c r="B19" s="9" t="n">
        <v>5314</v>
      </c>
      <c r="C19" s="8" t="s">
        <v>286</v>
      </c>
    </row>
    <row r="20" customFormat="false" ht="15" hidden="false" customHeight="false" outlineLevel="0" collapsed="false">
      <c r="A20" s="8" t="s">
        <v>287</v>
      </c>
      <c r="B20" s="9" t="n">
        <v>3532</v>
      </c>
      <c r="C20" s="8" t="s">
        <v>288</v>
      </c>
    </row>
    <row r="21" customFormat="false" ht="15" hidden="false" customHeight="false" outlineLevel="0" collapsed="false">
      <c r="A21" s="8" t="s">
        <v>289</v>
      </c>
      <c r="B21" s="9" t="n">
        <v>3491</v>
      </c>
      <c r="C21" s="8" t="s">
        <v>290</v>
      </c>
    </row>
    <row r="22" customFormat="false" ht="15" hidden="false" customHeight="false" outlineLevel="0" collapsed="false">
      <c r="A22" s="8" t="s">
        <v>291</v>
      </c>
      <c r="B22" s="9" t="n">
        <v>2720</v>
      </c>
      <c r="C22" s="8" t="s">
        <v>292</v>
      </c>
    </row>
    <row r="23" customFormat="false" ht="15" hidden="false" customHeight="false" outlineLevel="0" collapsed="false">
      <c r="A23" s="8" t="s">
        <v>293</v>
      </c>
      <c r="B23" s="9" t="n">
        <v>2228</v>
      </c>
      <c r="C23" s="8" t="s">
        <v>294</v>
      </c>
    </row>
    <row r="24" customFormat="false" ht="15" hidden="false" customHeight="false" outlineLevel="0" collapsed="false">
      <c r="A24" s="8" t="s">
        <v>295</v>
      </c>
      <c r="B24" s="9" t="n">
        <v>1634</v>
      </c>
      <c r="C24" s="8" t="s">
        <v>290</v>
      </c>
    </row>
    <row r="25" customFormat="false" ht="15" hidden="false" customHeight="false" outlineLevel="0" collapsed="false">
      <c r="A25" s="8" t="s">
        <v>296</v>
      </c>
      <c r="B25" s="9" t="n">
        <v>1575</v>
      </c>
      <c r="C25" s="8" t="s">
        <v>297</v>
      </c>
    </row>
    <row r="26" customFormat="false" ht="15" hidden="false" customHeight="false" outlineLevel="0" collapsed="false">
      <c r="A26" s="8" t="s">
        <v>298</v>
      </c>
      <c r="B26" s="9" t="n">
        <v>1409</v>
      </c>
      <c r="C26" s="8" t="s">
        <v>299</v>
      </c>
    </row>
    <row r="27" customFormat="false" ht="15" hidden="false" customHeight="false" outlineLevel="0" collapsed="false">
      <c r="A27" s="8" t="s">
        <v>300</v>
      </c>
      <c r="B27" s="9" t="n">
        <v>1123</v>
      </c>
      <c r="C27" s="8" t="s">
        <v>301</v>
      </c>
    </row>
    <row r="28" customFormat="false" ht="15" hidden="false" customHeight="false" outlineLevel="0" collapsed="false">
      <c r="A28" s="8" t="s">
        <v>302</v>
      </c>
      <c r="B28" s="9" t="n">
        <v>744</v>
      </c>
      <c r="C28" s="8" t="s">
        <v>303</v>
      </c>
    </row>
    <row r="29" customFormat="false" ht="15" hidden="false" customHeight="false" outlineLevel="0" collapsed="false">
      <c r="A29" s="8" t="s">
        <v>304</v>
      </c>
      <c r="B29" s="9" t="n">
        <v>413</v>
      </c>
      <c r="C29" s="8" t="s">
        <v>305</v>
      </c>
    </row>
    <row r="30" customFormat="false" ht="15" hidden="false" customHeight="false" outlineLevel="0" collapsed="false">
      <c r="A30" s="8" t="s">
        <v>306</v>
      </c>
      <c r="B30" s="9" t="n">
        <v>386</v>
      </c>
      <c r="C30" s="8" t="s">
        <v>290</v>
      </c>
    </row>
    <row r="31" customFormat="false" ht="15" hidden="false" customHeight="false" outlineLevel="0" collapsed="false">
      <c r="A31" s="6" t="s">
        <v>76</v>
      </c>
      <c r="B31" s="11" t="n">
        <f aca="false">SUM(B17:B30)</f>
        <v>40479</v>
      </c>
    </row>
    <row r="33" customFormat="false" ht="15" hidden="false" customHeight="false" outlineLevel="0" collapsed="false">
      <c r="A33" s="5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1" min="10" style="0" width="8"/>
    <col collapsed="false" customWidth="true" hidden="false" outlineLevel="0" max="12" min="12" style="0" width="34"/>
    <col collapsed="false" customWidth="true" hidden="false" outlineLevel="0" max="13" min="13" style="0" width="8"/>
    <col collapsed="false" customWidth="true" hidden="false" outlineLevel="0" max="14" min="14" style="0" width="30"/>
    <col collapsed="false" customWidth="true" hidden="false" outlineLevel="0" max="15" min="15" style="0" width="26"/>
    <col collapsed="false" customWidth="true" hidden="false" outlineLevel="0" max="16" min="16" style="0" width="22"/>
    <col collapsed="false" customWidth="true" hidden="false" outlineLevel="0" max="17" min="17" style="0" width="26"/>
    <col collapsed="false" customWidth="true" hidden="false" outlineLevel="0" max="18" min="18" style="0" width="14"/>
    <col collapsed="false" customWidth="true" hidden="false" outlineLevel="0" max="19" min="19" style="0" width="30"/>
    <col collapsed="false" customWidth="true" hidden="false" outlineLevel="0" max="20" min="20" style="0" width="10"/>
    <col collapsed="false" customWidth="true" hidden="false" outlineLevel="0" max="21" min="21" style="0" width="34"/>
    <col collapsed="false" customWidth="true" hidden="false" outlineLevel="0" max="22" min="22" style="0" width="12"/>
    <col collapsed="false" customWidth="true" hidden="false" outlineLevel="0" max="23" min="23" style="0" width="14"/>
    <col collapsed="false" customWidth="true" hidden="false" outlineLevel="0" max="24" min="24" style="0" width="8"/>
    <col collapsed="false" customWidth="true" hidden="false" outlineLevel="0" max="26" min="25" style="0" width="40"/>
  </cols>
  <sheetData>
    <row r="1" customFormat="false" ht="42" hidden="false" customHeight="true" outlineLevel="0" collapsed="false">
      <c r="A1" s="7" t="s">
        <v>308</v>
      </c>
      <c r="B1" s="7" t="s">
        <v>309</v>
      </c>
      <c r="C1" s="7" t="s">
        <v>310</v>
      </c>
      <c r="D1" s="7" t="s">
        <v>174</v>
      </c>
      <c r="E1" s="7" t="s">
        <v>97</v>
      </c>
      <c r="F1" s="7" t="s">
        <v>311</v>
      </c>
      <c r="G1" s="7" t="s">
        <v>65</v>
      </c>
      <c r="H1" s="7" t="s">
        <v>312</v>
      </c>
      <c r="I1" s="7" t="s">
        <v>313</v>
      </c>
      <c r="J1" s="7" t="s">
        <v>314</v>
      </c>
      <c r="K1" s="7" t="s">
        <v>315</v>
      </c>
      <c r="L1" s="7" t="s">
        <v>316</v>
      </c>
      <c r="M1" s="7" t="s">
        <v>317</v>
      </c>
      <c r="N1" s="7" t="s">
        <v>318</v>
      </c>
      <c r="O1" s="7" t="s">
        <v>319</v>
      </c>
      <c r="P1" s="7" t="s">
        <v>320</v>
      </c>
      <c r="Q1" s="7" t="s">
        <v>321</v>
      </c>
      <c r="R1" s="7" t="s">
        <v>322</v>
      </c>
      <c r="S1" s="7" t="s">
        <v>323</v>
      </c>
      <c r="T1" s="7" t="s">
        <v>324</v>
      </c>
      <c r="U1" s="7" t="s">
        <v>325</v>
      </c>
      <c r="V1" s="7" t="s">
        <v>326</v>
      </c>
      <c r="W1" s="7" t="s">
        <v>327</v>
      </c>
      <c r="X1" s="7" t="s">
        <v>328</v>
      </c>
      <c r="Y1" s="7" t="s">
        <v>329</v>
      </c>
      <c r="Z1" s="7" t="s">
        <v>330</v>
      </c>
    </row>
    <row r="2" customFormat="false" ht="15" hidden="false" customHeight="false" outlineLevel="0" collapsed="false">
      <c r="A2" s="2" t="s">
        <v>331</v>
      </c>
      <c r="B2" s="2" t="s">
        <v>332</v>
      </c>
      <c r="C2" s="2" t="s">
        <v>333</v>
      </c>
      <c r="D2" s="2" t="s">
        <v>213</v>
      </c>
      <c r="E2" s="2" t="s">
        <v>102</v>
      </c>
      <c r="F2" s="2" t="s">
        <v>334</v>
      </c>
      <c r="G2" s="2" t="s">
        <v>70</v>
      </c>
      <c r="H2" s="2" t="s">
        <v>335</v>
      </c>
      <c r="I2" s="2" t="s">
        <v>336</v>
      </c>
      <c r="J2" s="15" t="n">
        <v>657</v>
      </c>
      <c r="K2" s="15" t="n">
        <v>0</v>
      </c>
      <c r="L2" s="2"/>
      <c r="M2" s="2" t="str">
        <f aca="false">IF(J2="","",IF(J2&lt;=4,"≤4",IF(J2&lt;=10,"5–10",IF(J2&lt;=20,"11–20",IF(J2&lt;=50,"21–50",IF(J2&lt;=250,"51–250","251+"))))))</f>
        <v>251+</v>
      </c>
      <c r="N2" s="2" t="s">
        <v>337</v>
      </c>
      <c r="O2" s="2"/>
      <c r="P2" s="2"/>
      <c r="Q2" s="2"/>
      <c r="R2" s="16"/>
      <c r="S2" s="2"/>
      <c r="T2" s="16"/>
      <c r="U2" s="2"/>
      <c r="V2" s="16"/>
      <c r="W2" s="2"/>
      <c r="X2" s="2" t="n">
        <v>2023</v>
      </c>
      <c r="Y2" s="2" t="s">
        <v>338</v>
      </c>
      <c r="Z2" s="17" t="s">
        <v>339</v>
      </c>
    </row>
    <row r="3" customFormat="false" ht="23.85" hidden="false" customHeight="false" outlineLevel="0" collapsed="false">
      <c r="A3" s="2" t="s">
        <v>340</v>
      </c>
      <c r="B3" s="2" t="s">
        <v>341</v>
      </c>
      <c r="C3" s="2" t="s">
        <v>342</v>
      </c>
      <c r="D3" s="2" t="s">
        <v>197</v>
      </c>
      <c r="E3" s="2" t="s">
        <v>103</v>
      </c>
      <c r="F3" s="2" t="s">
        <v>343</v>
      </c>
      <c r="G3" s="2" t="s">
        <v>70</v>
      </c>
      <c r="H3" s="2" t="s">
        <v>344</v>
      </c>
      <c r="I3" s="2" t="s">
        <v>336</v>
      </c>
      <c r="J3" s="15" t="n">
        <v>283</v>
      </c>
      <c r="K3" s="15" t="n">
        <v>64</v>
      </c>
      <c r="L3" s="2" t="s">
        <v>345</v>
      </c>
      <c r="M3" s="2" t="str">
        <f aca="false">IF(J3="","",IF(J3&lt;=4,"≤4",IF(J3&lt;=10,"5–10",IF(J3&lt;=20,"11–20",IF(J3&lt;=50,"21–50",IF(J3&lt;=250,"51–250","251+"))))))</f>
        <v>251+</v>
      </c>
      <c r="N3" s="2" t="s">
        <v>346</v>
      </c>
      <c r="O3" s="2"/>
      <c r="P3" s="2"/>
      <c r="Q3" s="2"/>
      <c r="R3" s="16"/>
      <c r="S3" s="2"/>
      <c r="T3" s="16"/>
      <c r="U3" s="2"/>
      <c r="V3" s="16"/>
      <c r="W3" s="2"/>
      <c r="X3" s="2" t="n">
        <v>2023</v>
      </c>
      <c r="Y3" s="2" t="s">
        <v>347</v>
      </c>
      <c r="Z3" s="17" t="s">
        <v>339</v>
      </c>
    </row>
    <row r="4" customFormat="false" ht="15" hidden="false" customHeight="false" outlineLevel="0" collapsed="false">
      <c r="A4" s="2" t="s">
        <v>348</v>
      </c>
      <c r="B4" s="2" t="s">
        <v>349</v>
      </c>
      <c r="C4" s="2" t="s">
        <v>350</v>
      </c>
      <c r="D4" s="2" t="s">
        <v>202</v>
      </c>
      <c r="E4" s="2" t="s">
        <v>108</v>
      </c>
      <c r="F4" s="2" t="s">
        <v>343</v>
      </c>
      <c r="G4" s="2" t="s">
        <v>70</v>
      </c>
      <c r="H4" s="2" t="s">
        <v>344</v>
      </c>
      <c r="I4" s="2" t="s">
        <v>336</v>
      </c>
      <c r="J4" s="15" t="n">
        <v>193</v>
      </c>
      <c r="K4" s="15" t="n">
        <v>48</v>
      </c>
      <c r="L4" s="2" t="s">
        <v>351</v>
      </c>
      <c r="M4" s="2" t="str">
        <f aca="false">IF(J4="","",IF(J4&lt;=4,"≤4",IF(J4&lt;=10,"5–10",IF(J4&lt;=20,"11–20",IF(J4&lt;=50,"21–50",IF(J4&lt;=250,"51–250","251+"))))))</f>
        <v>51–250</v>
      </c>
      <c r="N4" s="2" t="s">
        <v>352</v>
      </c>
      <c r="O4" s="2"/>
      <c r="P4" s="2"/>
      <c r="Q4" s="2"/>
      <c r="R4" s="16"/>
      <c r="S4" s="2"/>
      <c r="T4" s="16"/>
      <c r="U4" s="2"/>
      <c r="V4" s="16"/>
      <c r="W4" s="2"/>
      <c r="X4" s="2" t="n">
        <v>2023</v>
      </c>
      <c r="Y4" s="2"/>
      <c r="Z4" s="17" t="s">
        <v>339</v>
      </c>
    </row>
    <row r="5" customFormat="false" ht="15" hidden="false" customHeight="false" outlineLevel="0" collapsed="false">
      <c r="A5" s="2" t="s">
        <v>353</v>
      </c>
      <c r="B5" s="2" t="s">
        <v>354</v>
      </c>
      <c r="C5" s="2" t="s">
        <v>354</v>
      </c>
      <c r="D5" s="2" t="s">
        <v>196</v>
      </c>
      <c r="E5" s="2" t="s">
        <v>103</v>
      </c>
      <c r="F5" s="2" t="s">
        <v>334</v>
      </c>
      <c r="G5" s="2" t="s">
        <v>70</v>
      </c>
      <c r="H5" s="2" t="s">
        <v>344</v>
      </c>
      <c r="I5" s="2"/>
      <c r="J5" s="15" t="n">
        <v>185</v>
      </c>
      <c r="K5" s="15" t="n">
        <v>0</v>
      </c>
      <c r="L5" s="2"/>
      <c r="M5" s="2" t="str">
        <f aca="false">IF(J5="","",IF(J5&lt;=4,"≤4",IF(J5&lt;=10,"5–10",IF(J5&lt;=20,"11–20",IF(J5&lt;=50,"21–50",IF(J5&lt;=250,"51–250","251+"))))))</f>
        <v>51–250</v>
      </c>
      <c r="N5" s="2"/>
      <c r="O5" s="2"/>
      <c r="P5" s="2"/>
      <c r="Q5" s="2"/>
      <c r="R5" s="16"/>
      <c r="S5" s="2"/>
      <c r="T5" s="16"/>
      <c r="U5" s="2"/>
      <c r="V5" s="16"/>
      <c r="W5" s="2"/>
      <c r="X5" s="2" t="n">
        <v>2023</v>
      </c>
      <c r="Y5" s="2"/>
      <c r="Z5" s="17" t="s">
        <v>339</v>
      </c>
    </row>
    <row r="6" customFormat="false" ht="23.85" hidden="false" customHeight="false" outlineLevel="0" collapsed="false">
      <c r="A6" s="2" t="s">
        <v>355</v>
      </c>
      <c r="B6" s="2" t="s">
        <v>356</v>
      </c>
      <c r="C6" s="2" t="s">
        <v>356</v>
      </c>
      <c r="D6" s="2" t="s">
        <v>178</v>
      </c>
      <c r="E6" s="2" t="s">
        <v>107</v>
      </c>
      <c r="F6" s="2" t="s">
        <v>334</v>
      </c>
      <c r="G6" s="2" t="s">
        <v>70</v>
      </c>
      <c r="H6" s="2" t="s">
        <v>357</v>
      </c>
      <c r="I6" s="2"/>
      <c r="J6" s="15" t="n">
        <v>77</v>
      </c>
      <c r="K6" s="15" t="n">
        <v>9</v>
      </c>
      <c r="L6" s="2"/>
      <c r="M6" s="2" t="str">
        <f aca="false">IF(J6="","",IF(J6&lt;=4,"≤4",IF(J6&lt;=10,"5–10",IF(J6&lt;=20,"11–20",IF(J6&lt;=50,"21–50",IF(J6&lt;=250,"51–250","251+"))))))</f>
        <v>51–250</v>
      </c>
      <c r="N6" s="2"/>
      <c r="O6" s="2"/>
      <c r="P6" s="2"/>
      <c r="Q6" s="2"/>
      <c r="R6" s="16"/>
      <c r="S6" s="2"/>
      <c r="T6" s="16"/>
      <c r="U6" s="2"/>
      <c r="V6" s="16"/>
      <c r="W6" s="2"/>
      <c r="X6" s="2" t="n">
        <v>2023</v>
      </c>
      <c r="Y6" s="2" t="s">
        <v>358</v>
      </c>
      <c r="Z6" s="17" t="s">
        <v>339</v>
      </c>
    </row>
    <row r="7" customFormat="false" ht="15" hidden="false" customHeight="false" outlineLevel="0" collapsed="false">
      <c r="A7" s="2" t="s">
        <v>359</v>
      </c>
      <c r="B7" s="2" t="s">
        <v>360</v>
      </c>
      <c r="C7" s="2" t="s">
        <v>360</v>
      </c>
      <c r="D7" s="2" t="s">
        <v>196</v>
      </c>
      <c r="E7" s="2" t="s">
        <v>106</v>
      </c>
      <c r="F7" s="2" t="s">
        <v>343</v>
      </c>
      <c r="G7" s="2" t="s">
        <v>70</v>
      </c>
      <c r="H7" s="2" t="s">
        <v>344</v>
      </c>
      <c r="I7" s="2"/>
      <c r="J7" s="15" t="n">
        <v>63</v>
      </c>
      <c r="K7" s="15" t="n">
        <v>11</v>
      </c>
      <c r="L7" s="2" t="s">
        <v>361</v>
      </c>
      <c r="M7" s="2" t="str">
        <f aca="false">IF(J7="","",IF(J7&lt;=4,"≤4",IF(J7&lt;=10,"5–10",IF(J7&lt;=20,"11–20",IF(J7&lt;=50,"21–50",IF(J7&lt;=250,"51–250","251+"))))))</f>
        <v>51–250</v>
      </c>
      <c r="N7" s="2"/>
      <c r="O7" s="2"/>
      <c r="P7" s="2"/>
      <c r="Q7" s="2"/>
      <c r="R7" s="16"/>
      <c r="S7" s="2"/>
      <c r="T7" s="16"/>
      <c r="U7" s="2"/>
      <c r="V7" s="16"/>
      <c r="W7" s="2"/>
      <c r="X7" s="2" t="n">
        <v>2023</v>
      </c>
      <c r="Y7" s="2"/>
      <c r="Z7" s="17" t="s">
        <v>339</v>
      </c>
    </row>
    <row r="8" customFormat="false" ht="15" hidden="false" customHeight="false" outlineLevel="0" collapsed="false">
      <c r="A8" s="2" t="s">
        <v>362</v>
      </c>
      <c r="B8" s="2" t="s">
        <v>363</v>
      </c>
      <c r="C8" s="2" t="s">
        <v>363</v>
      </c>
      <c r="D8" s="2" t="s">
        <v>209</v>
      </c>
      <c r="E8" s="2" t="s">
        <v>100</v>
      </c>
      <c r="F8" s="2" t="s">
        <v>334</v>
      </c>
      <c r="G8" s="2" t="s">
        <v>70</v>
      </c>
      <c r="H8" s="2" t="s">
        <v>357</v>
      </c>
      <c r="I8" s="2" t="s">
        <v>364</v>
      </c>
      <c r="J8" s="15" t="n">
        <v>53</v>
      </c>
      <c r="K8" s="15" t="n">
        <v>7</v>
      </c>
      <c r="L8" s="2"/>
      <c r="M8" s="2" t="str">
        <f aca="false">IF(J8="","",IF(J8&lt;=4,"≤4",IF(J8&lt;=10,"5–10",IF(J8&lt;=20,"11–20",IF(J8&lt;=50,"21–50",IF(J8&lt;=250,"51–250","251+"))))))</f>
        <v>51–250</v>
      </c>
      <c r="N8" s="2"/>
      <c r="O8" s="2"/>
      <c r="P8" s="2"/>
      <c r="Q8" s="2"/>
      <c r="R8" s="16"/>
      <c r="S8" s="2"/>
      <c r="T8" s="16"/>
      <c r="U8" s="2"/>
      <c r="V8" s="16"/>
      <c r="W8" s="2"/>
      <c r="X8" s="2" t="n">
        <v>2023</v>
      </c>
      <c r="Y8" s="2"/>
      <c r="Z8" s="17" t="s">
        <v>339</v>
      </c>
    </row>
    <row r="9" customFormat="false" ht="15" hidden="false" customHeight="false" outlineLevel="0" collapsed="false">
      <c r="A9" s="2" t="s">
        <v>365</v>
      </c>
      <c r="B9" s="2" t="s">
        <v>366</v>
      </c>
      <c r="C9" s="2" t="s">
        <v>366</v>
      </c>
      <c r="D9" s="2" t="s">
        <v>211</v>
      </c>
      <c r="E9" s="2" t="s">
        <v>103</v>
      </c>
      <c r="F9" s="2" t="s">
        <v>334</v>
      </c>
      <c r="G9" s="2" t="s">
        <v>70</v>
      </c>
      <c r="H9" s="2" t="s">
        <v>357</v>
      </c>
      <c r="I9" s="2"/>
      <c r="J9" s="15" t="n">
        <v>42</v>
      </c>
      <c r="K9" s="15" t="n">
        <v>0</v>
      </c>
      <c r="L9" s="2"/>
      <c r="M9" s="2" t="str">
        <f aca="false">IF(J9="","",IF(J9&lt;=4,"≤4",IF(J9&lt;=10,"5–10",IF(J9&lt;=20,"11–20",IF(J9&lt;=50,"21–50",IF(J9&lt;=250,"51–250","251+"))))))</f>
        <v>21–50</v>
      </c>
      <c r="N9" s="2"/>
      <c r="O9" s="2"/>
      <c r="P9" s="2"/>
      <c r="Q9" s="2"/>
      <c r="R9" s="16"/>
      <c r="S9" s="2"/>
      <c r="T9" s="16"/>
      <c r="U9" s="2"/>
      <c r="V9" s="16"/>
      <c r="W9" s="2"/>
      <c r="X9" s="2" t="n">
        <v>2023</v>
      </c>
      <c r="Y9" s="2" t="s">
        <v>367</v>
      </c>
      <c r="Z9" s="17" t="s">
        <v>339</v>
      </c>
    </row>
    <row r="10" customFormat="false" ht="15" hidden="false" customHeight="false" outlineLevel="0" collapsed="false">
      <c r="A10" s="2" t="s">
        <v>368</v>
      </c>
      <c r="B10" s="2" t="s">
        <v>369</v>
      </c>
      <c r="C10" s="2" t="s">
        <v>369</v>
      </c>
      <c r="D10" s="2" t="s">
        <v>209</v>
      </c>
      <c r="E10" s="2" t="s">
        <v>99</v>
      </c>
      <c r="F10" s="2" t="s">
        <v>334</v>
      </c>
      <c r="G10" s="2" t="s">
        <v>70</v>
      </c>
      <c r="H10" s="2" t="s">
        <v>357</v>
      </c>
      <c r="I10" s="2"/>
      <c r="J10" s="15" t="n">
        <v>28</v>
      </c>
      <c r="K10" s="15" t="n">
        <v>0</v>
      </c>
      <c r="L10" s="2"/>
      <c r="M10" s="2" t="str">
        <f aca="false">IF(J10="","",IF(J10&lt;=4,"≤4",IF(J10&lt;=10,"5–10",IF(J10&lt;=20,"11–20",IF(J10&lt;=50,"21–50",IF(J10&lt;=250,"51–250","251+"))))))</f>
        <v>21–50</v>
      </c>
      <c r="N10" s="2"/>
      <c r="O10" s="2"/>
      <c r="P10" s="2"/>
      <c r="Q10" s="2"/>
      <c r="R10" s="16"/>
      <c r="S10" s="2"/>
      <c r="T10" s="16"/>
      <c r="U10" s="2"/>
      <c r="V10" s="16"/>
      <c r="W10" s="2"/>
      <c r="X10" s="2" t="n">
        <v>2023</v>
      </c>
      <c r="Y10" s="2"/>
      <c r="Z10" s="17" t="s">
        <v>339</v>
      </c>
    </row>
    <row r="11" customFormat="false" ht="15" hidden="false" customHeight="false" outlineLevel="0" collapsed="false">
      <c r="A11" s="2" t="s">
        <v>370</v>
      </c>
      <c r="B11" s="2" t="s">
        <v>371</v>
      </c>
      <c r="C11" s="2" t="s">
        <v>371</v>
      </c>
      <c r="D11" s="2" t="s">
        <v>206</v>
      </c>
      <c r="E11" s="2" t="s">
        <v>107</v>
      </c>
      <c r="F11" s="2" t="s">
        <v>334</v>
      </c>
      <c r="G11" s="2" t="s">
        <v>70</v>
      </c>
      <c r="H11" s="2" t="s">
        <v>357</v>
      </c>
      <c r="I11" s="2" t="s">
        <v>336</v>
      </c>
      <c r="J11" s="15" t="n">
        <v>24</v>
      </c>
      <c r="K11" s="15" t="n">
        <v>3</v>
      </c>
      <c r="L11" s="2"/>
      <c r="M11" s="2" t="str">
        <f aca="false">IF(J11="","",IF(J11&lt;=4,"≤4",IF(J11&lt;=10,"5–10",IF(J11&lt;=20,"11–20",IF(J11&lt;=50,"21–50",IF(J11&lt;=250,"51–250","251+"))))))</f>
        <v>21–50</v>
      </c>
      <c r="N11" s="2"/>
      <c r="O11" s="2"/>
      <c r="P11" s="2"/>
      <c r="Q11" s="2"/>
      <c r="R11" s="16"/>
      <c r="S11" s="2"/>
      <c r="T11" s="16"/>
      <c r="U11" s="2"/>
      <c r="V11" s="16"/>
      <c r="W11" s="2"/>
      <c r="X11" s="2" t="n">
        <v>2023</v>
      </c>
      <c r="Y11" s="2"/>
      <c r="Z11" s="17" t="s">
        <v>339</v>
      </c>
    </row>
    <row r="12" customFormat="false" ht="15" hidden="false" customHeight="false" outlineLevel="0" collapsed="false">
      <c r="A12" s="2" t="s">
        <v>372</v>
      </c>
      <c r="B12" s="2" t="s">
        <v>373</v>
      </c>
      <c r="C12" s="2" t="s">
        <v>374</v>
      </c>
      <c r="D12" s="2" t="s">
        <v>211</v>
      </c>
      <c r="E12" s="2" t="s">
        <v>103</v>
      </c>
      <c r="F12" s="2" t="s">
        <v>375</v>
      </c>
      <c r="G12" s="2" t="s">
        <v>70</v>
      </c>
      <c r="H12" s="2" t="s">
        <v>376</v>
      </c>
      <c r="I12" s="2" t="s">
        <v>336</v>
      </c>
      <c r="J12" s="15" t="n">
        <v>203</v>
      </c>
      <c r="K12" s="15" t="n">
        <v>201</v>
      </c>
      <c r="L12" s="2" t="s">
        <v>377</v>
      </c>
      <c r="M12" s="2" t="str">
        <f aca="false">IF(J12="","",IF(J12&lt;=4,"≤4",IF(J12&lt;=10,"5–10",IF(J12&lt;=20,"11–20",IF(J12&lt;=50,"21–50",IF(J12&lt;=250,"51–250","251+"))))))</f>
        <v>51–250</v>
      </c>
      <c r="N12" s="2"/>
      <c r="O12" s="2"/>
      <c r="P12" s="2"/>
      <c r="Q12" s="2" t="s">
        <v>378</v>
      </c>
      <c r="R12" s="16"/>
      <c r="S12" s="2"/>
      <c r="T12" s="16"/>
      <c r="U12" s="2"/>
      <c r="V12" s="16"/>
      <c r="W12" s="2"/>
      <c r="X12" s="2" t="n">
        <v>2023</v>
      </c>
      <c r="Y12" s="2" t="s">
        <v>379</v>
      </c>
      <c r="Z12" s="17" t="s">
        <v>339</v>
      </c>
    </row>
    <row r="13" customFormat="false" ht="23.85" hidden="false" customHeight="false" outlineLevel="0" collapsed="false">
      <c r="A13" s="2" t="s">
        <v>380</v>
      </c>
      <c r="B13" s="2" t="s">
        <v>381</v>
      </c>
      <c r="C13" s="2" t="s">
        <v>382</v>
      </c>
      <c r="D13" s="2" t="s">
        <v>202</v>
      </c>
      <c r="E13" s="2" t="s">
        <v>108</v>
      </c>
      <c r="F13" s="2" t="s">
        <v>375</v>
      </c>
      <c r="G13" s="2" t="s">
        <v>70</v>
      </c>
      <c r="H13" s="2" t="s">
        <v>376</v>
      </c>
      <c r="I13" s="2" t="s">
        <v>336</v>
      </c>
      <c r="J13" s="15" t="n">
        <v>131</v>
      </c>
      <c r="K13" s="15" t="n">
        <v>130</v>
      </c>
      <c r="L13" s="2" t="s">
        <v>383</v>
      </c>
      <c r="M13" s="2" t="str">
        <f aca="false">IF(J13="","",IF(J13&lt;=4,"≤4",IF(J13&lt;=10,"5–10",IF(J13&lt;=20,"11–20",IF(J13&lt;=50,"21–50",IF(J13&lt;=250,"51–250","251+"))))))</f>
        <v>51–250</v>
      </c>
      <c r="N13" s="2" t="s">
        <v>384</v>
      </c>
      <c r="O13" s="2" t="s">
        <v>385</v>
      </c>
      <c r="P13" s="2"/>
      <c r="Q13" s="2"/>
      <c r="R13" s="16"/>
      <c r="S13" s="2"/>
      <c r="T13" s="16"/>
      <c r="U13" s="2"/>
      <c r="V13" s="16"/>
      <c r="W13" s="2"/>
      <c r="X13" s="2" t="n">
        <v>2023</v>
      </c>
      <c r="Y13" s="2"/>
      <c r="Z13" s="17" t="s">
        <v>339</v>
      </c>
    </row>
    <row r="14" customFormat="false" ht="15" hidden="false" customHeight="false" outlineLevel="0" collapsed="false">
      <c r="A14" s="2" t="s">
        <v>386</v>
      </c>
      <c r="B14" s="2" t="s">
        <v>387</v>
      </c>
      <c r="C14" s="2" t="s">
        <v>387</v>
      </c>
      <c r="D14" s="2" t="s">
        <v>213</v>
      </c>
      <c r="E14" s="2" t="s">
        <v>100</v>
      </c>
      <c r="F14" s="2" t="s">
        <v>375</v>
      </c>
      <c r="G14" s="2" t="s">
        <v>70</v>
      </c>
      <c r="H14" s="2" t="s">
        <v>344</v>
      </c>
      <c r="I14" s="2"/>
      <c r="J14" s="15" t="n">
        <v>122</v>
      </c>
      <c r="K14" s="15" t="n">
        <v>21</v>
      </c>
      <c r="L14" s="2" t="s">
        <v>388</v>
      </c>
      <c r="M14" s="2" t="str">
        <f aca="false">IF(J14="","",IF(J14&lt;=4,"≤4",IF(J14&lt;=10,"5–10",IF(J14&lt;=20,"11–20",IF(J14&lt;=50,"21–50",IF(J14&lt;=250,"51–250","251+"))))))</f>
        <v>51–250</v>
      </c>
      <c r="N14" s="2"/>
      <c r="O14" s="2"/>
      <c r="P14" s="2"/>
      <c r="Q14" s="2"/>
      <c r="R14" s="16"/>
      <c r="S14" s="2"/>
      <c r="T14" s="16"/>
      <c r="U14" s="2"/>
      <c r="V14" s="16"/>
      <c r="W14" s="2"/>
      <c r="X14" s="2" t="n">
        <v>2023</v>
      </c>
      <c r="Y14" s="2"/>
      <c r="Z14" s="17" t="s">
        <v>339</v>
      </c>
    </row>
    <row r="15" customFormat="false" ht="35.05" hidden="false" customHeight="false" outlineLevel="0" collapsed="false">
      <c r="A15" s="2" t="s">
        <v>389</v>
      </c>
      <c r="B15" s="2" t="s">
        <v>390</v>
      </c>
      <c r="C15" s="2" t="s">
        <v>391</v>
      </c>
      <c r="D15" s="2" t="s">
        <v>214</v>
      </c>
      <c r="E15" s="2" t="s">
        <v>103</v>
      </c>
      <c r="F15" s="2" t="s">
        <v>375</v>
      </c>
      <c r="G15" s="2" t="s">
        <v>70</v>
      </c>
      <c r="H15" s="2" t="s">
        <v>392</v>
      </c>
      <c r="I15" s="2"/>
      <c r="J15" s="15" t="n">
        <v>105</v>
      </c>
      <c r="K15" s="15" t="n">
        <v>105</v>
      </c>
      <c r="L15" s="2" t="s">
        <v>393</v>
      </c>
      <c r="M15" s="2" t="str">
        <f aca="false">IF(J15="","",IF(J15&lt;=4,"≤4",IF(J15&lt;=10,"5–10",IF(J15&lt;=20,"11–20",IF(J15&lt;=50,"21–50",IF(J15&lt;=250,"51–250","251+"))))))</f>
        <v>51–250</v>
      </c>
      <c r="N15" s="2" t="s">
        <v>284</v>
      </c>
      <c r="O15" s="2"/>
      <c r="P15" s="2"/>
      <c r="Q15" s="2"/>
      <c r="R15" s="16"/>
      <c r="S15" s="2"/>
      <c r="T15" s="16"/>
      <c r="U15" s="2"/>
      <c r="V15" s="16"/>
      <c r="W15" s="2"/>
      <c r="X15" s="2" t="n">
        <v>2023</v>
      </c>
      <c r="Y15" s="2" t="s">
        <v>394</v>
      </c>
      <c r="Z15" s="17" t="s">
        <v>339</v>
      </c>
    </row>
    <row r="16" customFormat="false" ht="23.85" hidden="false" customHeight="false" outlineLevel="0" collapsed="false">
      <c r="A16" s="2" t="s">
        <v>395</v>
      </c>
      <c r="B16" s="2" t="s">
        <v>396</v>
      </c>
      <c r="C16" s="2" t="s">
        <v>396</v>
      </c>
      <c r="D16" s="2" t="s">
        <v>180</v>
      </c>
      <c r="E16" s="2" t="s">
        <v>105</v>
      </c>
      <c r="F16" s="2" t="s">
        <v>375</v>
      </c>
      <c r="G16" s="2" t="s">
        <v>70</v>
      </c>
      <c r="H16" s="2" t="s">
        <v>397</v>
      </c>
      <c r="I16" s="2"/>
      <c r="J16" s="15" t="n">
        <v>43</v>
      </c>
      <c r="K16" s="15" t="n">
        <v>20</v>
      </c>
      <c r="L16" s="2" t="s">
        <v>398</v>
      </c>
      <c r="M16" s="2" t="str">
        <f aca="false">IF(J16="","",IF(J16&lt;=4,"≤4",IF(J16&lt;=10,"5–10",IF(J16&lt;=20,"11–20",IF(J16&lt;=50,"21–50",IF(J16&lt;=250,"51–250","251+"))))))</f>
        <v>21–50</v>
      </c>
      <c r="N16" s="2"/>
      <c r="O16" s="2"/>
      <c r="P16" s="2"/>
      <c r="Q16" s="2"/>
      <c r="R16" s="16"/>
      <c r="S16" s="2"/>
      <c r="T16" s="16"/>
      <c r="U16" s="2"/>
      <c r="V16" s="16"/>
      <c r="W16" s="2"/>
      <c r="X16" s="2" t="n">
        <v>2023</v>
      </c>
      <c r="Y16" s="2" t="s">
        <v>399</v>
      </c>
      <c r="Z16" s="17" t="s">
        <v>339</v>
      </c>
    </row>
    <row r="17" customFormat="false" ht="23.85" hidden="false" customHeight="false" outlineLevel="0" collapsed="false">
      <c r="A17" s="2" t="s">
        <v>400</v>
      </c>
      <c r="B17" s="2" t="s">
        <v>401</v>
      </c>
      <c r="C17" s="2" t="s">
        <v>402</v>
      </c>
      <c r="D17" s="2" t="s">
        <v>197</v>
      </c>
      <c r="E17" s="2" t="s">
        <v>103</v>
      </c>
      <c r="F17" s="2" t="s">
        <v>403</v>
      </c>
      <c r="G17" s="2" t="s">
        <v>70</v>
      </c>
      <c r="H17" s="2" t="s">
        <v>344</v>
      </c>
      <c r="I17" s="2" t="s">
        <v>336</v>
      </c>
      <c r="J17" s="15" t="n">
        <v>258</v>
      </c>
      <c r="K17" s="15" t="n">
        <v>59</v>
      </c>
      <c r="L17" s="2" t="s">
        <v>404</v>
      </c>
      <c r="M17" s="2" t="str">
        <f aca="false">IF(J17="","",IF(J17&lt;=4,"≤4",IF(J17&lt;=10,"5–10",IF(J17&lt;=20,"11–20",IF(J17&lt;=50,"21–50",IF(J17&lt;=250,"51–250","251+"))))))</f>
        <v>251+</v>
      </c>
      <c r="N17" s="2" t="s">
        <v>346</v>
      </c>
      <c r="O17" s="2"/>
      <c r="P17" s="2"/>
      <c r="Q17" s="2"/>
      <c r="R17" s="16"/>
      <c r="S17" s="2"/>
      <c r="T17" s="16"/>
      <c r="U17" s="2"/>
      <c r="V17" s="16"/>
      <c r="W17" s="2"/>
      <c r="X17" s="2" t="n">
        <v>2024</v>
      </c>
      <c r="Y17" s="2" t="s">
        <v>347</v>
      </c>
      <c r="Z17" s="17" t="s">
        <v>405</v>
      </c>
    </row>
    <row r="18" customFormat="false" ht="35.05" hidden="false" customHeight="false" outlineLevel="0" collapsed="false">
      <c r="A18" s="2" t="s">
        <v>406</v>
      </c>
      <c r="B18" s="2" t="s">
        <v>407</v>
      </c>
      <c r="C18" s="2" t="s">
        <v>391</v>
      </c>
      <c r="D18" s="2" t="s">
        <v>214</v>
      </c>
      <c r="E18" s="2" t="s">
        <v>103</v>
      </c>
      <c r="F18" s="2" t="s">
        <v>403</v>
      </c>
      <c r="G18" s="2" t="s">
        <v>70</v>
      </c>
      <c r="H18" s="2" t="s">
        <v>392</v>
      </c>
      <c r="I18" s="2" t="s">
        <v>336</v>
      </c>
      <c r="J18" s="15" t="n">
        <v>388</v>
      </c>
      <c r="K18" s="15" t="n">
        <v>138</v>
      </c>
      <c r="L18" s="2" t="s">
        <v>408</v>
      </c>
      <c r="M18" s="2" t="str">
        <f aca="false">IF(J18="","",IF(J18&lt;=4,"≤4",IF(J18&lt;=10,"5–10",IF(J18&lt;=20,"11–20",IF(J18&lt;=50,"21–50",IF(J18&lt;=250,"51–250","251+"))))))</f>
        <v>251+</v>
      </c>
      <c r="N18" s="2" t="s">
        <v>284</v>
      </c>
      <c r="O18" s="2" t="s">
        <v>409</v>
      </c>
      <c r="P18" s="2"/>
      <c r="Q18" s="2"/>
      <c r="R18" s="16"/>
      <c r="S18" s="2"/>
      <c r="T18" s="16"/>
      <c r="U18" s="2"/>
      <c r="V18" s="16"/>
      <c r="W18" s="2"/>
      <c r="X18" s="2" t="n">
        <v>2024</v>
      </c>
      <c r="Y18" s="2" t="s">
        <v>410</v>
      </c>
      <c r="Z18" s="17" t="s">
        <v>405</v>
      </c>
    </row>
    <row r="19" customFormat="false" ht="15" hidden="false" customHeight="false" outlineLevel="0" collapsed="false">
      <c r="A19" s="2" t="s">
        <v>411</v>
      </c>
      <c r="B19" s="2" t="s">
        <v>412</v>
      </c>
      <c r="C19" s="2" t="s">
        <v>412</v>
      </c>
      <c r="D19" s="2"/>
      <c r="E19" s="2"/>
      <c r="F19" s="2" t="s">
        <v>413</v>
      </c>
      <c r="G19" s="2" t="s">
        <v>70</v>
      </c>
      <c r="H19" s="2" t="s">
        <v>357</v>
      </c>
      <c r="I19" s="2"/>
      <c r="J19" s="15" t="n">
        <v>14</v>
      </c>
      <c r="K19" s="15" t="n">
        <v>0</v>
      </c>
      <c r="L19" s="2"/>
      <c r="M19" s="2" t="str">
        <f aca="false">IF(J19="","",IF(J19&lt;=4,"≤4",IF(J19&lt;=10,"5–10",IF(J19&lt;=20,"11–20",IF(J19&lt;=50,"21–50",IF(J19&lt;=250,"51–250","251+"))))))</f>
        <v>11–20</v>
      </c>
      <c r="N19" s="2"/>
      <c r="O19" s="2"/>
      <c r="P19" s="2"/>
      <c r="Q19" s="2"/>
      <c r="R19" s="16"/>
      <c r="S19" s="2"/>
      <c r="T19" s="16"/>
      <c r="U19" s="2"/>
      <c r="V19" s="16"/>
      <c r="W19" s="2"/>
      <c r="X19" s="2" t="n">
        <v>2024</v>
      </c>
      <c r="Y19" s="2"/>
      <c r="Z19" s="17" t="s">
        <v>405</v>
      </c>
    </row>
    <row r="20" customFormat="false" ht="15" hidden="false" customHeight="false" outlineLevel="0" collapsed="false">
      <c r="A20" s="2" t="s">
        <v>414</v>
      </c>
      <c r="B20" s="2" t="s">
        <v>415</v>
      </c>
      <c r="C20" s="2" t="s">
        <v>416</v>
      </c>
      <c r="D20" s="2" t="s">
        <v>197</v>
      </c>
      <c r="E20" s="2" t="s">
        <v>103</v>
      </c>
      <c r="F20" s="2" t="s">
        <v>417</v>
      </c>
      <c r="G20" s="2" t="s">
        <v>70</v>
      </c>
      <c r="H20" s="2" t="s">
        <v>376</v>
      </c>
      <c r="I20" s="2"/>
      <c r="J20" s="15" t="n">
        <v>148</v>
      </c>
      <c r="K20" s="15" t="n">
        <v>148</v>
      </c>
      <c r="L20" s="2" t="s">
        <v>418</v>
      </c>
      <c r="M20" s="2" t="str">
        <f aca="false">IF(J20="","",IF(J20&lt;=4,"≤4",IF(J20&lt;=10,"5–10",IF(J20&lt;=20,"11–20",IF(J20&lt;=50,"21–50",IF(J20&lt;=250,"51–250","251+"))))))</f>
        <v>51–250</v>
      </c>
      <c r="N20" s="2"/>
      <c r="O20" s="2"/>
      <c r="P20" s="2"/>
      <c r="Q20" s="2"/>
      <c r="R20" s="16"/>
      <c r="S20" s="2"/>
      <c r="T20" s="16"/>
      <c r="U20" s="2"/>
      <c r="V20" s="16"/>
      <c r="W20" s="2"/>
      <c r="X20" s="2" t="n">
        <v>2024</v>
      </c>
      <c r="Y20" s="2"/>
      <c r="Z20" s="17" t="s">
        <v>405</v>
      </c>
    </row>
    <row r="21" customFormat="false" ht="15" hidden="false" customHeight="false" outlineLevel="0" collapsed="false">
      <c r="A21" s="2" t="s">
        <v>419</v>
      </c>
      <c r="B21" s="2" t="s">
        <v>420</v>
      </c>
      <c r="C21" s="2" t="s">
        <v>420</v>
      </c>
      <c r="D21" s="2" t="s">
        <v>202</v>
      </c>
      <c r="E21" s="2" t="s">
        <v>108</v>
      </c>
      <c r="F21" s="2" t="s">
        <v>417</v>
      </c>
      <c r="G21" s="2" t="s">
        <v>70</v>
      </c>
      <c r="H21" s="2" t="s">
        <v>376</v>
      </c>
      <c r="I21" s="2" t="s">
        <v>336</v>
      </c>
      <c r="J21" s="15" t="n">
        <v>137</v>
      </c>
      <c r="K21" s="15" t="n">
        <v>135</v>
      </c>
      <c r="L21" s="2" t="s">
        <v>421</v>
      </c>
      <c r="M21" s="2" t="str">
        <f aca="false">IF(J21="","",IF(J21&lt;=4,"≤4",IF(J21&lt;=10,"5–10",IF(J21&lt;=20,"11–20",IF(J21&lt;=50,"21–50",IF(J21&lt;=250,"51–250","251+"))))))</f>
        <v>51–250</v>
      </c>
      <c r="N21" s="2" t="s">
        <v>385</v>
      </c>
      <c r="O21" s="2" t="s">
        <v>422</v>
      </c>
      <c r="P21" s="2"/>
      <c r="Q21" s="2"/>
      <c r="R21" s="16"/>
      <c r="S21" s="2"/>
      <c r="T21" s="16"/>
      <c r="U21" s="2"/>
      <c r="V21" s="16"/>
      <c r="W21" s="2"/>
      <c r="X21" s="2" t="n">
        <v>2024</v>
      </c>
      <c r="Y21" s="2"/>
      <c r="Z21" s="17" t="s">
        <v>405</v>
      </c>
    </row>
    <row r="22" customFormat="false" ht="23.85" hidden="false" customHeight="false" outlineLevel="0" collapsed="false">
      <c r="A22" s="2" t="s">
        <v>423</v>
      </c>
      <c r="B22" s="2" t="s">
        <v>424</v>
      </c>
      <c r="C22" s="2" t="s">
        <v>425</v>
      </c>
      <c r="D22" s="2" t="s">
        <v>212</v>
      </c>
      <c r="E22" s="2" t="s">
        <v>101</v>
      </c>
      <c r="F22" s="2" t="s">
        <v>417</v>
      </c>
      <c r="G22" s="2" t="s">
        <v>70</v>
      </c>
      <c r="H22" s="2" t="s">
        <v>376</v>
      </c>
      <c r="I22" s="2" t="s">
        <v>336</v>
      </c>
      <c r="J22" s="15" t="n">
        <v>135</v>
      </c>
      <c r="K22" s="15" t="n">
        <v>134</v>
      </c>
      <c r="L22" s="2" t="s">
        <v>426</v>
      </c>
      <c r="M22" s="2" t="str">
        <f aca="false">IF(J22="","",IF(J22&lt;=4,"≤4",IF(J22&lt;=10,"5–10",IF(J22&lt;=20,"11–20",IF(J22&lt;=50,"21–50",IF(J22&lt;=250,"51–250","251+"))))))</f>
        <v>51–250</v>
      </c>
      <c r="N22" s="2" t="s">
        <v>427</v>
      </c>
      <c r="O22" s="2" t="s">
        <v>428</v>
      </c>
      <c r="P22" s="2"/>
      <c r="Q22" s="2" t="s">
        <v>429</v>
      </c>
      <c r="R22" s="16"/>
      <c r="S22" s="2"/>
      <c r="T22" s="16"/>
      <c r="U22" s="2"/>
      <c r="V22" s="16"/>
      <c r="W22" s="2"/>
      <c r="X22" s="2" t="n">
        <v>2024</v>
      </c>
      <c r="Y22" s="2"/>
      <c r="Z22" s="17" t="s">
        <v>405</v>
      </c>
    </row>
    <row r="23" customFormat="false" ht="23.85" hidden="false" customHeight="false" outlineLevel="0" collapsed="false">
      <c r="A23" s="2" t="s">
        <v>430</v>
      </c>
      <c r="B23" s="2" t="s">
        <v>431</v>
      </c>
      <c r="C23" s="2" t="s">
        <v>432</v>
      </c>
      <c r="D23" s="2" t="s">
        <v>206</v>
      </c>
      <c r="E23" s="2" t="s">
        <v>107</v>
      </c>
      <c r="F23" s="2" t="s">
        <v>417</v>
      </c>
      <c r="G23" s="2" t="s">
        <v>70</v>
      </c>
      <c r="H23" s="2" t="s">
        <v>376</v>
      </c>
      <c r="I23" s="2" t="s">
        <v>336</v>
      </c>
      <c r="J23" s="15" t="n">
        <v>221</v>
      </c>
      <c r="K23" s="15" t="n">
        <v>220</v>
      </c>
      <c r="L23" s="2" t="s">
        <v>433</v>
      </c>
      <c r="M23" s="2" t="str">
        <f aca="false">IF(J23="","",IF(J23&lt;=4,"≤4",IF(J23&lt;=10,"5–10",IF(J23&lt;=20,"11–20",IF(J23&lt;=50,"21–50",IF(J23&lt;=250,"51–250","251+"))))))</f>
        <v>51–250</v>
      </c>
      <c r="N23" s="2" t="s">
        <v>422</v>
      </c>
      <c r="O23" s="2"/>
      <c r="P23" s="2"/>
      <c r="Q23" s="2"/>
      <c r="R23" s="16"/>
      <c r="S23" s="2"/>
      <c r="T23" s="16"/>
      <c r="U23" s="2"/>
      <c r="V23" s="16"/>
      <c r="W23" s="2"/>
      <c r="X23" s="2" t="n">
        <v>2024</v>
      </c>
      <c r="Y23" s="2" t="s">
        <v>434</v>
      </c>
      <c r="Z23" s="17" t="s">
        <v>405</v>
      </c>
    </row>
    <row r="24" customFormat="false" ht="23.85" hidden="false" customHeight="false" outlineLevel="0" collapsed="false">
      <c r="A24" s="2" t="s">
        <v>435</v>
      </c>
      <c r="B24" s="2" t="s">
        <v>436</v>
      </c>
      <c r="C24" s="2" t="s">
        <v>436</v>
      </c>
      <c r="D24" s="2" t="s">
        <v>213</v>
      </c>
      <c r="E24" s="2" t="s">
        <v>102</v>
      </c>
      <c r="F24" s="2" t="s">
        <v>417</v>
      </c>
      <c r="G24" s="2" t="s">
        <v>70</v>
      </c>
      <c r="H24" s="2" t="s">
        <v>376</v>
      </c>
      <c r="I24" s="2" t="s">
        <v>336</v>
      </c>
      <c r="J24" s="15" t="n">
        <v>70</v>
      </c>
      <c r="K24" s="15" t="n">
        <v>69</v>
      </c>
      <c r="L24" s="2" t="s">
        <v>437</v>
      </c>
      <c r="M24" s="2" t="str">
        <f aca="false">IF(J24="","",IF(J24&lt;=4,"≤4",IF(J24&lt;=10,"5–10",IF(J24&lt;=20,"11–20",IF(J24&lt;=50,"21–50",IF(J24&lt;=250,"51–250","251+"))))))</f>
        <v>51–250</v>
      </c>
      <c r="N24" s="2" t="s">
        <v>438</v>
      </c>
      <c r="O24" s="2"/>
      <c r="P24" s="2"/>
      <c r="Q24" s="2"/>
      <c r="R24" s="16"/>
      <c r="S24" s="2"/>
      <c r="T24" s="16"/>
      <c r="U24" s="2"/>
      <c r="V24" s="16"/>
      <c r="W24" s="2"/>
      <c r="X24" s="2" t="n">
        <v>2024</v>
      </c>
      <c r="Y24" s="2"/>
      <c r="Z24" s="17" t="s">
        <v>405</v>
      </c>
    </row>
    <row r="25" customFormat="false" ht="35.05" hidden="false" customHeight="false" outlineLevel="0" collapsed="false">
      <c r="A25" s="2" t="s">
        <v>439</v>
      </c>
      <c r="B25" s="2" t="s">
        <v>440</v>
      </c>
      <c r="C25" s="2" t="s">
        <v>441</v>
      </c>
      <c r="D25" s="2" t="s">
        <v>211</v>
      </c>
      <c r="E25" s="2" t="s">
        <v>103</v>
      </c>
      <c r="F25" s="2" t="s">
        <v>442</v>
      </c>
      <c r="G25" s="2" t="s">
        <v>70</v>
      </c>
      <c r="H25" s="2" t="s">
        <v>344</v>
      </c>
      <c r="I25" s="2" t="s">
        <v>336</v>
      </c>
      <c r="J25" s="15" t="n">
        <v>500</v>
      </c>
      <c r="K25" s="15" t="n">
        <v>78</v>
      </c>
      <c r="L25" s="2" t="s">
        <v>443</v>
      </c>
      <c r="M25" s="2" t="str">
        <f aca="false">IF(J25="","",IF(J25&lt;=4,"≤4",IF(J25&lt;=10,"5–10",IF(J25&lt;=20,"11–20",IF(J25&lt;=50,"21–50",IF(J25&lt;=250,"51–250","251+"))))))</f>
        <v>251+</v>
      </c>
      <c r="N25" s="2" t="s">
        <v>444</v>
      </c>
      <c r="O25" s="2"/>
      <c r="P25" s="2"/>
      <c r="Q25" s="2" t="s">
        <v>445</v>
      </c>
      <c r="R25" s="16"/>
      <c r="S25" s="2"/>
      <c r="T25" s="16"/>
      <c r="U25" s="2"/>
      <c r="V25" s="16"/>
      <c r="W25" s="2"/>
      <c r="X25" s="2" t="n">
        <v>2025</v>
      </c>
      <c r="Y25" s="2" t="s">
        <v>446</v>
      </c>
      <c r="Z25" s="17" t="s">
        <v>447</v>
      </c>
    </row>
    <row r="26" customFormat="false" ht="15" hidden="false" customHeight="false" outlineLevel="0" collapsed="false">
      <c r="A26" s="2" t="s">
        <v>448</v>
      </c>
      <c r="B26" s="2" t="s">
        <v>449</v>
      </c>
      <c r="C26" s="2" t="s">
        <v>449</v>
      </c>
      <c r="D26" s="2" t="s">
        <v>216</v>
      </c>
      <c r="E26" s="2" t="s">
        <v>107</v>
      </c>
      <c r="F26" s="2" t="s">
        <v>450</v>
      </c>
      <c r="G26" s="2" t="s">
        <v>70</v>
      </c>
      <c r="H26" s="2" t="s">
        <v>357</v>
      </c>
      <c r="I26" s="2"/>
      <c r="J26" s="15" t="n">
        <v>178</v>
      </c>
      <c r="K26" s="15" t="n">
        <v>9</v>
      </c>
      <c r="L26" s="2"/>
      <c r="M26" s="2" t="str">
        <f aca="false">IF(J26="","",IF(J26&lt;=4,"≤4",IF(J26&lt;=10,"5–10",IF(J26&lt;=20,"11–20",IF(J26&lt;=50,"21–50",IF(J26&lt;=250,"51–250","251+"))))))</f>
        <v>51–250</v>
      </c>
      <c r="N26" s="2"/>
      <c r="O26" s="2"/>
      <c r="P26" s="2"/>
      <c r="Q26" s="2"/>
      <c r="R26" s="16"/>
      <c r="S26" s="2"/>
      <c r="T26" s="16"/>
      <c r="U26" s="2"/>
      <c r="V26" s="16"/>
      <c r="W26" s="2"/>
      <c r="X26" s="2" t="n">
        <v>2025</v>
      </c>
      <c r="Y26" s="2"/>
      <c r="Z26" s="17" t="s">
        <v>451</v>
      </c>
    </row>
    <row r="27" customFormat="false" ht="15" hidden="false" customHeight="false" outlineLevel="0" collapsed="false">
      <c r="A27" s="2" t="s">
        <v>452</v>
      </c>
      <c r="B27" s="2" t="s">
        <v>453</v>
      </c>
      <c r="C27" s="2" t="s">
        <v>453</v>
      </c>
      <c r="D27" s="2" t="s">
        <v>211</v>
      </c>
      <c r="E27" s="2" t="s">
        <v>103</v>
      </c>
      <c r="F27" s="2" t="s">
        <v>442</v>
      </c>
      <c r="G27" s="2" t="s">
        <v>70</v>
      </c>
      <c r="H27" s="2" t="s">
        <v>357</v>
      </c>
      <c r="I27" s="2" t="s">
        <v>364</v>
      </c>
      <c r="J27" s="15" t="n">
        <v>90</v>
      </c>
      <c r="K27" s="15" t="n">
        <v>12</v>
      </c>
      <c r="L27" s="2" t="s">
        <v>454</v>
      </c>
      <c r="M27" s="2" t="str">
        <f aca="false">IF(J27="","",IF(J27&lt;=4,"≤4",IF(J27&lt;=10,"5–10",IF(J27&lt;=20,"11–20",IF(J27&lt;=50,"21–50",IF(J27&lt;=250,"51–250","251+"))))))</f>
        <v>51–250</v>
      </c>
      <c r="N27" s="2"/>
      <c r="O27" s="2"/>
      <c r="P27" s="2"/>
      <c r="Q27" s="2"/>
      <c r="R27" s="16"/>
      <c r="S27" s="2"/>
      <c r="T27" s="16"/>
      <c r="U27" s="2"/>
      <c r="V27" s="16"/>
      <c r="W27" s="2"/>
      <c r="X27" s="2" t="n">
        <v>2025</v>
      </c>
      <c r="Y27" s="2"/>
      <c r="Z27" s="17" t="s">
        <v>451</v>
      </c>
    </row>
    <row r="28" customFormat="false" ht="15" hidden="false" customHeight="false" outlineLevel="0" collapsed="false">
      <c r="A28" s="2" t="s">
        <v>455</v>
      </c>
      <c r="B28" s="2" t="s">
        <v>456</v>
      </c>
      <c r="C28" s="2" t="s">
        <v>456</v>
      </c>
      <c r="D28" s="2" t="s">
        <v>202</v>
      </c>
      <c r="E28" s="2" t="s">
        <v>108</v>
      </c>
      <c r="F28" s="2" t="s">
        <v>442</v>
      </c>
      <c r="G28" s="2" t="s">
        <v>70</v>
      </c>
      <c r="H28" s="2" t="s">
        <v>344</v>
      </c>
      <c r="I28" s="2" t="s">
        <v>336</v>
      </c>
      <c r="J28" s="15" t="n">
        <v>46</v>
      </c>
      <c r="K28" s="15" t="n">
        <v>12</v>
      </c>
      <c r="L28" s="2" t="s">
        <v>457</v>
      </c>
      <c r="M28" s="2" t="str">
        <f aca="false">IF(J28="","",IF(J28&lt;=4,"≤4",IF(J28&lt;=10,"5–10",IF(J28&lt;=20,"11–20",IF(J28&lt;=50,"21–50",IF(J28&lt;=250,"51–250","251+"))))))</f>
        <v>21–50</v>
      </c>
      <c r="N28" s="2"/>
      <c r="O28" s="2"/>
      <c r="P28" s="2"/>
      <c r="Q28" s="2"/>
      <c r="R28" s="16"/>
      <c r="S28" s="2"/>
      <c r="T28" s="16"/>
      <c r="U28" s="2"/>
      <c r="V28" s="16"/>
      <c r="W28" s="2"/>
      <c r="X28" s="2" t="n">
        <v>2025</v>
      </c>
      <c r="Y28" s="2"/>
      <c r="Z28" s="17" t="s">
        <v>451</v>
      </c>
    </row>
    <row r="29" customFormat="false" ht="15" hidden="false" customHeight="false" outlineLevel="0" collapsed="false">
      <c r="A29" s="2" t="s">
        <v>458</v>
      </c>
      <c r="B29" s="2" t="s">
        <v>459</v>
      </c>
      <c r="C29" s="2" t="s">
        <v>459</v>
      </c>
      <c r="D29" s="2" t="s">
        <v>209</v>
      </c>
      <c r="E29" s="2" t="s">
        <v>99</v>
      </c>
      <c r="F29" s="2" t="s">
        <v>450</v>
      </c>
      <c r="G29" s="2" t="s">
        <v>70</v>
      </c>
      <c r="H29" s="2" t="s">
        <v>357</v>
      </c>
      <c r="I29" s="2"/>
      <c r="J29" s="15" t="n">
        <v>35</v>
      </c>
      <c r="K29" s="15" t="n">
        <v>0</v>
      </c>
      <c r="L29" s="2"/>
      <c r="M29" s="2" t="str">
        <f aca="false">IF(J29="","",IF(J29&lt;=4,"≤4",IF(J29&lt;=10,"5–10",IF(J29&lt;=20,"11–20",IF(J29&lt;=50,"21–50",IF(J29&lt;=250,"51–250","251+"))))))</f>
        <v>21–50</v>
      </c>
      <c r="N29" s="2"/>
      <c r="O29" s="2"/>
      <c r="P29" s="2"/>
      <c r="Q29" s="2"/>
      <c r="R29" s="16"/>
      <c r="S29" s="2"/>
      <c r="T29" s="16"/>
      <c r="U29" s="2"/>
      <c r="V29" s="16"/>
      <c r="W29" s="2"/>
      <c r="X29" s="2" t="n">
        <v>2025</v>
      </c>
      <c r="Y29" s="2" t="s">
        <v>460</v>
      </c>
      <c r="Z29" s="17" t="s">
        <v>451</v>
      </c>
    </row>
    <row r="30" customFormat="false" ht="15" hidden="false" customHeight="false" outlineLevel="0" collapsed="false">
      <c r="A30" s="2" t="s">
        <v>461</v>
      </c>
      <c r="B30" s="2" t="s">
        <v>462</v>
      </c>
      <c r="C30" s="2" t="s">
        <v>462</v>
      </c>
      <c r="D30" s="2" t="s">
        <v>196</v>
      </c>
      <c r="E30" s="2" t="s">
        <v>106</v>
      </c>
      <c r="F30" s="2" t="s">
        <v>450</v>
      </c>
      <c r="G30" s="2" t="s">
        <v>70</v>
      </c>
      <c r="H30" s="2" t="s">
        <v>344</v>
      </c>
      <c r="I30" s="2"/>
      <c r="J30" s="15" t="n">
        <v>28</v>
      </c>
      <c r="K30" s="15" t="n">
        <v>4</v>
      </c>
      <c r="L30" s="2"/>
      <c r="M30" s="2" t="str">
        <f aca="false">IF(J30="","",IF(J30&lt;=4,"≤4",IF(J30&lt;=10,"5–10",IF(J30&lt;=20,"11–20",IF(J30&lt;=50,"21–50",IF(J30&lt;=250,"51–250","251+"))))))</f>
        <v>21–50</v>
      </c>
      <c r="N30" s="2"/>
      <c r="O30" s="2"/>
      <c r="P30" s="2"/>
      <c r="Q30" s="2"/>
      <c r="R30" s="16"/>
      <c r="S30" s="2"/>
      <c r="T30" s="16"/>
      <c r="U30" s="2"/>
      <c r="V30" s="16"/>
      <c r="W30" s="2"/>
      <c r="X30" s="2" t="n">
        <v>2025</v>
      </c>
      <c r="Y30" s="2"/>
      <c r="Z30" s="17" t="s">
        <v>451</v>
      </c>
    </row>
    <row r="31" customFormat="false" ht="15" hidden="false" customHeight="false" outlineLevel="0" collapsed="false">
      <c r="A31" s="2" t="s">
        <v>463</v>
      </c>
      <c r="B31" s="2" t="s">
        <v>464</v>
      </c>
      <c r="C31" s="2" t="s">
        <v>464</v>
      </c>
      <c r="D31" s="2" t="s">
        <v>198</v>
      </c>
      <c r="E31" s="2" t="s">
        <v>100</v>
      </c>
      <c r="F31" s="2" t="s">
        <v>450</v>
      </c>
      <c r="G31" s="2" t="s">
        <v>70</v>
      </c>
      <c r="H31" s="2" t="s">
        <v>357</v>
      </c>
      <c r="I31" s="2"/>
      <c r="J31" s="15" t="n">
        <v>17</v>
      </c>
      <c r="K31" s="15" t="n">
        <v>0</v>
      </c>
      <c r="L31" s="2"/>
      <c r="M31" s="2" t="str">
        <f aca="false">IF(J31="","",IF(J31&lt;=4,"≤4",IF(J31&lt;=10,"5–10",IF(J31&lt;=20,"11–20",IF(J31&lt;=50,"21–50",IF(J31&lt;=250,"51–250","251+"))))))</f>
        <v>11–20</v>
      </c>
      <c r="N31" s="2"/>
      <c r="O31" s="2"/>
      <c r="P31" s="2"/>
      <c r="Q31" s="2"/>
      <c r="R31" s="16"/>
      <c r="S31" s="2"/>
      <c r="T31" s="16"/>
      <c r="U31" s="2"/>
      <c r="V31" s="16"/>
      <c r="W31" s="2"/>
      <c r="X31" s="2" t="n">
        <v>2025</v>
      </c>
      <c r="Y31" s="2"/>
      <c r="Z31" s="17" t="s">
        <v>451</v>
      </c>
    </row>
    <row r="32" customFormat="false" ht="15" hidden="false" customHeight="false" outlineLevel="0" collapsed="false">
      <c r="A32" s="2" t="s">
        <v>465</v>
      </c>
      <c r="B32" s="2" t="s">
        <v>466</v>
      </c>
      <c r="C32" s="2" t="s">
        <v>466</v>
      </c>
      <c r="D32" s="2" t="s">
        <v>196</v>
      </c>
      <c r="E32" s="2" t="s">
        <v>106</v>
      </c>
      <c r="F32" s="2" t="s">
        <v>450</v>
      </c>
      <c r="G32" s="2" t="s">
        <v>70</v>
      </c>
      <c r="H32" s="2" t="s">
        <v>357</v>
      </c>
      <c r="I32" s="2"/>
      <c r="J32" s="15" t="n">
        <v>15</v>
      </c>
      <c r="K32" s="15" t="n">
        <v>2</v>
      </c>
      <c r="L32" s="2"/>
      <c r="M32" s="2" t="str">
        <f aca="false">IF(J32="","",IF(J32&lt;=4,"≤4",IF(J32&lt;=10,"5–10",IF(J32&lt;=20,"11–20",IF(J32&lt;=50,"21–50",IF(J32&lt;=250,"51–250","251+"))))))</f>
        <v>11–20</v>
      </c>
      <c r="N32" s="2"/>
      <c r="O32" s="2"/>
      <c r="P32" s="2"/>
      <c r="Q32" s="2"/>
      <c r="R32" s="16"/>
      <c r="S32" s="2"/>
      <c r="T32" s="16"/>
      <c r="U32" s="2"/>
      <c r="V32" s="16"/>
      <c r="W32" s="2"/>
      <c r="X32" s="2" t="n">
        <v>2025</v>
      </c>
      <c r="Y32" s="2"/>
      <c r="Z32" s="17" t="s">
        <v>451</v>
      </c>
    </row>
    <row r="33" customFormat="false" ht="23.85" hidden="false" customHeight="false" outlineLevel="0" collapsed="false">
      <c r="A33" s="2" t="s">
        <v>467</v>
      </c>
      <c r="B33" s="2" t="s">
        <v>468</v>
      </c>
      <c r="C33" s="2" t="s">
        <v>469</v>
      </c>
      <c r="D33" s="2" t="s">
        <v>216</v>
      </c>
      <c r="E33" s="2" t="s">
        <v>107</v>
      </c>
      <c r="F33" s="2" t="s">
        <v>470</v>
      </c>
      <c r="G33" s="2" t="s">
        <v>70</v>
      </c>
      <c r="H33" s="2" t="s">
        <v>471</v>
      </c>
      <c r="I33" s="2" t="s">
        <v>336</v>
      </c>
      <c r="J33" s="15" t="n">
        <v>170</v>
      </c>
      <c r="K33" s="15" t="n">
        <v>168</v>
      </c>
      <c r="L33" s="2" t="s">
        <v>472</v>
      </c>
      <c r="M33" s="2" t="str">
        <f aca="false">IF(J33="","",IF(J33&lt;=4,"≤4",IF(J33&lt;=10,"5–10",IF(J33&lt;=20,"11–20",IF(J33&lt;=50,"21–50",IF(J33&lt;=250,"51–250","251+"))))))</f>
        <v>51–250</v>
      </c>
      <c r="N33" s="2" t="s">
        <v>473</v>
      </c>
      <c r="O33" s="2" t="s">
        <v>384</v>
      </c>
      <c r="P33" s="2"/>
      <c r="Q33" s="2"/>
      <c r="R33" s="16"/>
      <c r="S33" s="2"/>
      <c r="T33" s="16"/>
      <c r="U33" s="2"/>
      <c r="V33" s="16"/>
      <c r="W33" s="2"/>
      <c r="X33" s="2" t="n">
        <v>2025</v>
      </c>
      <c r="Y33" s="2" t="s">
        <v>474</v>
      </c>
      <c r="Z33" s="17" t="s">
        <v>451</v>
      </c>
    </row>
    <row r="34" customFormat="false" ht="35.05" hidden="false" customHeight="false" outlineLevel="0" collapsed="false">
      <c r="A34" s="2" t="s">
        <v>475</v>
      </c>
      <c r="B34" s="2" t="s">
        <v>476</v>
      </c>
      <c r="C34" s="2" t="s">
        <v>476</v>
      </c>
      <c r="D34" s="2" t="s">
        <v>186</v>
      </c>
      <c r="E34" s="2" t="s">
        <v>102</v>
      </c>
      <c r="F34" s="2" t="s">
        <v>470</v>
      </c>
      <c r="G34" s="2" t="s">
        <v>70</v>
      </c>
      <c r="H34" s="2" t="s">
        <v>376</v>
      </c>
      <c r="I34" s="2" t="s">
        <v>336</v>
      </c>
      <c r="J34" s="15" t="n">
        <v>160</v>
      </c>
      <c r="K34" s="15" t="n">
        <v>159</v>
      </c>
      <c r="L34" s="2" t="s">
        <v>477</v>
      </c>
      <c r="M34" s="2" t="str">
        <f aca="false">IF(J34="","",IF(J34&lt;=4,"≤4",IF(J34&lt;=10,"5–10",IF(J34&lt;=20,"11–20",IF(J34&lt;=50,"21–50",IF(J34&lt;=250,"51–250","251+"))))))</f>
        <v>51–250</v>
      </c>
      <c r="N34" s="2" t="s">
        <v>438</v>
      </c>
      <c r="O34" s="2" t="s">
        <v>478</v>
      </c>
      <c r="P34" s="2" t="s">
        <v>479</v>
      </c>
      <c r="Q34" s="2" t="s">
        <v>480</v>
      </c>
      <c r="R34" s="16" t="n">
        <v>155000000</v>
      </c>
      <c r="S34" s="2" t="s">
        <v>481</v>
      </c>
      <c r="T34" s="16"/>
      <c r="U34" s="2" t="s">
        <v>482</v>
      </c>
      <c r="V34" s="16"/>
      <c r="W34" s="2" t="s">
        <v>483</v>
      </c>
      <c r="X34" s="2" t="n">
        <v>2025</v>
      </c>
      <c r="Y34" s="2" t="s">
        <v>484</v>
      </c>
      <c r="Z34" s="17" t="s">
        <v>485</v>
      </c>
    </row>
    <row r="35" customFormat="false" ht="23.85" hidden="false" customHeight="false" outlineLevel="0" collapsed="false">
      <c r="A35" s="2" t="s">
        <v>486</v>
      </c>
      <c r="B35" s="2" t="s">
        <v>487</v>
      </c>
      <c r="C35" s="2" t="s">
        <v>488</v>
      </c>
      <c r="D35" s="2" t="s">
        <v>206</v>
      </c>
      <c r="E35" s="2" t="s">
        <v>107</v>
      </c>
      <c r="F35" s="2" t="s">
        <v>470</v>
      </c>
      <c r="G35" s="2" t="s">
        <v>70</v>
      </c>
      <c r="H35" s="2" t="s">
        <v>471</v>
      </c>
      <c r="I35" s="2" t="s">
        <v>336</v>
      </c>
      <c r="J35" s="15" t="n">
        <v>157</v>
      </c>
      <c r="K35" s="15" t="n">
        <v>157</v>
      </c>
      <c r="L35" s="2" t="s">
        <v>489</v>
      </c>
      <c r="M35" s="2" t="str">
        <f aca="false">IF(J35="","",IF(J35&lt;=4,"≤4",IF(J35&lt;=10,"5–10",IF(J35&lt;=20,"11–20",IF(J35&lt;=50,"21–50",IF(J35&lt;=250,"51–250","251+"))))))</f>
        <v>51–250</v>
      </c>
      <c r="N35" s="2" t="s">
        <v>422</v>
      </c>
      <c r="O35" s="2"/>
      <c r="P35" s="2"/>
      <c r="Q35" s="2" t="s">
        <v>490</v>
      </c>
      <c r="R35" s="16"/>
      <c r="S35" s="2"/>
      <c r="T35" s="16"/>
      <c r="U35" s="2"/>
      <c r="V35" s="16"/>
      <c r="W35" s="2"/>
      <c r="X35" s="2" t="n">
        <v>2025</v>
      </c>
      <c r="Y35" s="2" t="s">
        <v>491</v>
      </c>
      <c r="Z35" s="17" t="s">
        <v>451</v>
      </c>
    </row>
    <row r="36" customFormat="false" ht="46.25" hidden="false" customHeight="false" outlineLevel="0" collapsed="false">
      <c r="A36" s="2" t="s">
        <v>492</v>
      </c>
      <c r="B36" s="2" t="s">
        <v>493</v>
      </c>
      <c r="C36" s="2" t="s">
        <v>494</v>
      </c>
      <c r="D36" s="2" t="s">
        <v>183</v>
      </c>
      <c r="E36" s="2" t="s">
        <v>103</v>
      </c>
      <c r="F36" s="2" t="s">
        <v>470</v>
      </c>
      <c r="G36" s="2" t="s">
        <v>70</v>
      </c>
      <c r="H36" s="2" t="s">
        <v>495</v>
      </c>
      <c r="I36" s="2" t="s">
        <v>336</v>
      </c>
      <c r="J36" s="15" t="n">
        <v>151</v>
      </c>
      <c r="K36" s="15" t="n">
        <v>150</v>
      </c>
      <c r="L36" s="2" t="s">
        <v>496</v>
      </c>
      <c r="M36" s="2" t="str">
        <f aca="false">IF(J36="","",IF(J36&lt;=4,"≤4",IF(J36&lt;=10,"5–10",IF(J36&lt;=20,"11–20",IF(J36&lt;=50,"21–50",IF(J36&lt;=250,"51–250","251+"))))))</f>
        <v>51–250</v>
      </c>
      <c r="N36" s="2" t="s">
        <v>478</v>
      </c>
      <c r="O36" s="2"/>
      <c r="P36" s="2"/>
      <c r="Q36" s="2" t="s">
        <v>497</v>
      </c>
      <c r="R36" s="16"/>
      <c r="S36" s="2" t="s">
        <v>498</v>
      </c>
      <c r="T36" s="16"/>
      <c r="U36" s="2" t="s">
        <v>499</v>
      </c>
      <c r="V36" s="16"/>
      <c r="W36" s="2" t="s">
        <v>500</v>
      </c>
      <c r="X36" s="2" t="n">
        <v>2025</v>
      </c>
      <c r="Y36" s="2" t="s">
        <v>501</v>
      </c>
      <c r="Z36" s="17" t="s">
        <v>502</v>
      </c>
    </row>
    <row r="37" customFormat="false" ht="46.25" hidden="false" customHeight="false" outlineLevel="0" collapsed="false">
      <c r="A37" s="2" t="s">
        <v>503</v>
      </c>
      <c r="B37" s="2" t="s">
        <v>504</v>
      </c>
      <c r="C37" s="2" t="s">
        <v>505</v>
      </c>
      <c r="D37" s="2" t="s">
        <v>179</v>
      </c>
      <c r="E37" s="2" t="s">
        <v>106</v>
      </c>
      <c r="F37" s="2" t="s">
        <v>470</v>
      </c>
      <c r="G37" s="2" t="s">
        <v>70</v>
      </c>
      <c r="H37" s="2" t="s">
        <v>506</v>
      </c>
      <c r="I37" s="2" t="s">
        <v>336</v>
      </c>
      <c r="J37" s="15" t="n">
        <v>146</v>
      </c>
      <c r="K37" s="15" t="n">
        <v>145</v>
      </c>
      <c r="L37" s="2" t="s">
        <v>507</v>
      </c>
      <c r="M37" s="2" t="str">
        <f aca="false">IF(J37="","",IF(J37&lt;=4,"≤4",IF(J37&lt;=10,"5–10",IF(J37&lt;=20,"11–20",IF(J37&lt;=50,"21–50",IF(J37&lt;=250,"51–250","251+"))))))</f>
        <v>51–250</v>
      </c>
      <c r="N37" s="2" t="s">
        <v>473</v>
      </c>
      <c r="O37" s="2" t="s">
        <v>508</v>
      </c>
      <c r="P37" s="2"/>
      <c r="Q37" s="2" t="s">
        <v>509</v>
      </c>
      <c r="R37" s="16" t="n">
        <v>84600000</v>
      </c>
      <c r="S37" s="2" t="s">
        <v>510</v>
      </c>
      <c r="T37" s="16"/>
      <c r="U37" s="2" t="s">
        <v>511</v>
      </c>
      <c r="V37" s="16"/>
      <c r="W37" s="2" t="s">
        <v>62</v>
      </c>
      <c r="X37" s="2" t="n">
        <v>2025</v>
      </c>
      <c r="Y37" s="2" t="s">
        <v>512</v>
      </c>
      <c r="Z37" s="17" t="s">
        <v>513</v>
      </c>
    </row>
    <row r="38" customFormat="false" ht="23.85" hidden="false" customHeight="false" outlineLevel="0" collapsed="false">
      <c r="A38" s="2" t="s">
        <v>514</v>
      </c>
      <c r="B38" s="2" t="s">
        <v>515</v>
      </c>
      <c r="C38" s="2" t="s">
        <v>516</v>
      </c>
      <c r="D38" s="2" t="s">
        <v>178</v>
      </c>
      <c r="E38" s="2" t="s">
        <v>107</v>
      </c>
      <c r="F38" s="2" t="s">
        <v>470</v>
      </c>
      <c r="G38" s="2" t="s">
        <v>70</v>
      </c>
      <c r="H38" s="2" t="s">
        <v>471</v>
      </c>
      <c r="I38" s="2"/>
      <c r="J38" s="15" t="n">
        <v>118</v>
      </c>
      <c r="K38" s="15" t="n">
        <v>101</v>
      </c>
      <c r="L38" s="2" t="s">
        <v>517</v>
      </c>
      <c r="M38" s="2" t="str">
        <f aca="false">IF(J38="","",IF(J38&lt;=4,"≤4",IF(J38&lt;=10,"5–10",IF(J38&lt;=20,"11–20",IF(J38&lt;=50,"21–50",IF(J38&lt;=250,"51–250","251+"))))))</f>
        <v>51–250</v>
      </c>
      <c r="N38" s="2" t="s">
        <v>518</v>
      </c>
      <c r="O38" s="2"/>
      <c r="P38" s="2"/>
      <c r="Q38" s="2"/>
      <c r="R38" s="16"/>
      <c r="S38" s="2"/>
      <c r="T38" s="16"/>
      <c r="U38" s="2"/>
      <c r="V38" s="16"/>
      <c r="W38" s="2"/>
      <c r="X38" s="2" t="n">
        <v>2025</v>
      </c>
      <c r="Y38" s="2" t="s">
        <v>519</v>
      </c>
      <c r="Z38" s="17" t="s">
        <v>451</v>
      </c>
    </row>
    <row r="39" customFormat="false" ht="15" hidden="false" customHeight="false" outlineLevel="0" collapsed="false">
      <c r="A39" s="2" t="s">
        <v>520</v>
      </c>
      <c r="B39" s="2" t="s">
        <v>521</v>
      </c>
      <c r="C39" s="2" t="s">
        <v>521</v>
      </c>
      <c r="D39" s="2" t="s">
        <v>187</v>
      </c>
      <c r="E39" s="2" t="s">
        <v>102</v>
      </c>
      <c r="F39" s="2" t="s">
        <v>470</v>
      </c>
      <c r="G39" s="2" t="s">
        <v>70</v>
      </c>
      <c r="H39" s="2" t="s">
        <v>376</v>
      </c>
      <c r="I39" s="2" t="s">
        <v>336</v>
      </c>
      <c r="J39" s="15" t="n">
        <v>112</v>
      </c>
      <c r="K39" s="15" t="n">
        <v>110</v>
      </c>
      <c r="L39" s="2" t="s">
        <v>522</v>
      </c>
      <c r="M39" s="2" t="str">
        <f aca="false">IF(J39="","",IF(J39&lt;=4,"≤4",IF(J39&lt;=10,"5–10",IF(J39&lt;=20,"11–20",IF(J39&lt;=50,"21–50",IF(J39&lt;=250,"51–250","251+"))))))</f>
        <v>51–250</v>
      </c>
      <c r="N39" s="2"/>
      <c r="O39" s="2"/>
      <c r="P39" s="2"/>
      <c r="Q39" s="2"/>
      <c r="R39" s="16"/>
      <c r="S39" s="2"/>
      <c r="T39" s="16"/>
      <c r="U39" s="2"/>
      <c r="V39" s="16"/>
      <c r="W39" s="2"/>
      <c r="X39" s="2" t="n">
        <v>2025</v>
      </c>
      <c r="Y39" s="2" t="s">
        <v>347</v>
      </c>
      <c r="Z39" s="17" t="s">
        <v>451</v>
      </c>
    </row>
    <row r="40" customFormat="false" ht="23.85" hidden="false" customHeight="false" outlineLevel="0" collapsed="false">
      <c r="A40" s="2" t="s">
        <v>523</v>
      </c>
      <c r="B40" s="2" t="s">
        <v>524</v>
      </c>
      <c r="C40" s="2" t="s">
        <v>524</v>
      </c>
      <c r="D40" s="2" t="s">
        <v>206</v>
      </c>
      <c r="E40" s="2" t="s">
        <v>107</v>
      </c>
      <c r="F40" s="2" t="s">
        <v>470</v>
      </c>
      <c r="G40" s="2" t="s">
        <v>70</v>
      </c>
      <c r="H40" s="2" t="s">
        <v>376</v>
      </c>
      <c r="I40" s="2" t="s">
        <v>336</v>
      </c>
      <c r="J40" s="15" t="n">
        <v>105</v>
      </c>
      <c r="K40" s="15" t="n">
        <v>104</v>
      </c>
      <c r="L40" s="2" t="s">
        <v>525</v>
      </c>
      <c r="M40" s="2" t="str">
        <f aca="false">IF(J40="","",IF(J40&lt;=4,"≤4",IF(J40&lt;=10,"5–10",IF(J40&lt;=20,"11–20",IF(J40&lt;=50,"21–50",IF(J40&lt;=250,"51–250","251+"))))))</f>
        <v>51–250</v>
      </c>
      <c r="N40" s="2"/>
      <c r="O40" s="2"/>
      <c r="P40" s="2"/>
      <c r="Q40" s="2"/>
      <c r="R40" s="16"/>
      <c r="S40" s="2"/>
      <c r="T40" s="16"/>
      <c r="U40" s="2"/>
      <c r="V40" s="16"/>
      <c r="W40" s="2"/>
      <c r="X40" s="2" t="n">
        <v>2025</v>
      </c>
      <c r="Y40" s="2"/>
      <c r="Z40" s="17" t="s">
        <v>451</v>
      </c>
    </row>
    <row r="41" customFormat="false" ht="23.85" hidden="false" customHeight="false" outlineLevel="0" collapsed="false">
      <c r="A41" s="2" t="s">
        <v>526</v>
      </c>
      <c r="B41" s="2" t="s">
        <v>527</v>
      </c>
      <c r="C41" s="2" t="s">
        <v>527</v>
      </c>
      <c r="D41" s="2" t="s">
        <v>188</v>
      </c>
      <c r="E41" s="2" t="s">
        <v>98</v>
      </c>
      <c r="F41" s="2" t="s">
        <v>470</v>
      </c>
      <c r="G41" s="2" t="s">
        <v>70</v>
      </c>
      <c r="H41" s="2" t="s">
        <v>376</v>
      </c>
      <c r="I41" s="2" t="s">
        <v>336</v>
      </c>
      <c r="J41" s="15" t="n">
        <v>98</v>
      </c>
      <c r="K41" s="15" t="n">
        <v>97</v>
      </c>
      <c r="L41" s="2" t="s">
        <v>528</v>
      </c>
      <c r="M41" s="2" t="str">
        <f aca="false">IF(J41="","",IF(J41&lt;=4,"≤4",IF(J41&lt;=10,"5–10",IF(J41&lt;=20,"11–20",IF(J41&lt;=50,"21–50",IF(J41&lt;=250,"51–250","251+"))))))</f>
        <v>51–250</v>
      </c>
      <c r="N41" s="2" t="s">
        <v>438</v>
      </c>
      <c r="O41" s="2"/>
      <c r="P41" s="2"/>
      <c r="Q41" s="2"/>
      <c r="R41" s="16"/>
      <c r="S41" s="2"/>
      <c r="T41" s="16"/>
      <c r="U41" s="2"/>
      <c r="V41" s="16"/>
      <c r="W41" s="2"/>
      <c r="X41" s="2" t="n">
        <v>2025</v>
      </c>
      <c r="Y41" s="2" t="s">
        <v>474</v>
      </c>
      <c r="Z41" s="17" t="s">
        <v>451</v>
      </c>
    </row>
    <row r="42" customFormat="false" ht="23.85" hidden="false" customHeight="false" outlineLevel="0" collapsed="false">
      <c r="A42" s="2" t="s">
        <v>529</v>
      </c>
      <c r="B42" s="2" t="s">
        <v>530</v>
      </c>
      <c r="C42" s="2" t="s">
        <v>531</v>
      </c>
      <c r="D42" s="2" t="s">
        <v>178</v>
      </c>
      <c r="E42" s="2" t="s">
        <v>107</v>
      </c>
      <c r="F42" s="2" t="s">
        <v>470</v>
      </c>
      <c r="G42" s="2" t="s">
        <v>70</v>
      </c>
      <c r="H42" s="2" t="s">
        <v>376</v>
      </c>
      <c r="I42" s="2"/>
      <c r="J42" s="15" t="n">
        <v>67</v>
      </c>
      <c r="K42" s="15" t="n">
        <v>66</v>
      </c>
      <c r="L42" s="2" t="s">
        <v>532</v>
      </c>
      <c r="M42" s="2" t="str">
        <f aca="false">IF(J42="","",IF(J42&lt;=4,"≤4",IF(J42&lt;=10,"5–10",IF(J42&lt;=20,"11–20",IF(J42&lt;=50,"21–50",IF(J42&lt;=250,"51–250","251+"))))))</f>
        <v>51–250</v>
      </c>
      <c r="N42" s="2"/>
      <c r="O42" s="2"/>
      <c r="P42" s="2"/>
      <c r="Q42" s="2"/>
      <c r="R42" s="16"/>
      <c r="S42" s="2"/>
      <c r="T42" s="16"/>
      <c r="U42" s="2"/>
      <c r="V42" s="16"/>
      <c r="W42" s="2"/>
      <c r="X42" s="2" t="n">
        <v>2025</v>
      </c>
      <c r="Y42" s="2"/>
      <c r="Z42" s="17" t="s">
        <v>451</v>
      </c>
    </row>
    <row r="43" customFormat="false" ht="23.85" hidden="false" customHeight="false" outlineLevel="0" collapsed="false">
      <c r="A43" s="2" t="s">
        <v>533</v>
      </c>
      <c r="B43" s="2" t="s">
        <v>534</v>
      </c>
      <c r="C43" s="2" t="s">
        <v>534</v>
      </c>
      <c r="D43" s="2" t="s">
        <v>187</v>
      </c>
      <c r="E43" s="2" t="s">
        <v>102</v>
      </c>
      <c r="F43" s="2" t="s">
        <v>470</v>
      </c>
      <c r="G43" s="2" t="s">
        <v>70</v>
      </c>
      <c r="H43" s="2" t="s">
        <v>376</v>
      </c>
      <c r="I43" s="2"/>
      <c r="J43" s="15" t="n">
        <v>64</v>
      </c>
      <c r="K43" s="15" t="n">
        <v>64</v>
      </c>
      <c r="L43" s="2" t="s">
        <v>535</v>
      </c>
      <c r="M43" s="2" t="str">
        <f aca="false">IF(J43="","",IF(J43&lt;=4,"≤4",IF(J43&lt;=10,"5–10",IF(J43&lt;=20,"11–20",IF(J43&lt;=50,"21–50",IF(J43&lt;=250,"51–250","251+"))))))</f>
        <v>51–250</v>
      </c>
      <c r="N43" s="2"/>
      <c r="O43" s="2"/>
      <c r="P43" s="2"/>
      <c r="Q43" s="2"/>
      <c r="R43" s="16"/>
      <c r="S43" s="2"/>
      <c r="T43" s="16"/>
      <c r="U43" s="2"/>
      <c r="V43" s="16"/>
      <c r="W43" s="2"/>
      <c r="X43" s="2" t="n">
        <v>2025</v>
      </c>
      <c r="Y43" s="2"/>
      <c r="Z43" s="17" t="s">
        <v>451</v>
      </c>
    </row>
    <row r="44" customFormat="false" ht="23.85" hidden="false" customHeight="false" outlineLevel="0" collapsed="false">
      <c r="A44" s="2" t="s">
        <v>536</v>
      </c>
      <c r="B44" s="2" t="s">
        <v>537</v>
      </c>
      <c r="C44" s="2" t="s">
        <v>538</v>
      </c>
      <c r="D44" s="2" t="s">
        <v>178</v>
      </c>
      <c r="E44" s="2" t="s">
        <v>107</v>
      </c>
      <c r="F44" s="2" t="s">
        <v>470</v>
      </c>
      <c r="G44" s="2" t="s">
        <v>70</v>
      </c>
      <c r="H44" s="2" t="s">
        <v>495</v>
      </c>
      <c r="I44" s="2" t="s">
        <v>336</v>
      </c>
      <c r="J44" s="15" t="n">
        <v>112</v>
      </c>
      <c r="K44" s="15" t="n">
        <v>110</v>
      </c>
      <c r="L44" s="2" t="s">
        <v>539</v>
      </c>
      <c r="M44" s="2" t="str">
        <f aca="false">IF(J44="","",IF(J44&lt;=4,"≤4",IF(J44&lt;=10,"5–10",IF(J44&lt;=20,"11–20",IF(J44&lt;=50,"21–50",IF(J44&lt;=250,"51–250","251+"))))))</f>
        <v>51–250</v>
      </c>
      <c r="N44" s="2" t="s">
        <v>540</v>
      </c>
      <c r="O44" s="2" t="s">
        <v>541</v>
      </c>
      <c r="P44" s="2"/>
      <c r="Q44" s="2"/>
      <c r="R44" s="16"/>
      <c r="S44" s="2"/>
      <c r="T44" s="16"/>
      <c r="U44" s="2"/>
      <c r="V44" s="16"/>
      <c r="W44" s="2"/>
      <c r="X44" s="2" t="n">
        <v>2025</v>
      </c>
      <c r="Y44" s="2" t="s">
        <v>542</v>
      </c>
      <c r="Z44" s="17" t="s">
        <v>543</v>
      </c>
    </row>
    <row r="45" customFormat="false" ht="23.85" hidden="false" customHeight="false" outlineLevel="0" collapsed="false">
      <c r="A45" s="2" t="s">
        <v>544</v>
      </c>
      <c r="B45" s="2" t="s">
        <v>545</v>
      </c>
      <c r="C45" s="2" t="s">
        <v>546</v>
      </c>
      <c r="D45" s="2" t="s">
        <v>178</v>
      </c>
      <c r="E45" s="2" t="s">
        <v>107</v>
      </c>
      <c r="F45" s="2" t="s">
        <v>470</v>
      </c>
      <c r="G45" s="2" t="s">
        <v>70</v>
      </c>
      <c r="H45" s="2" t="s">
        <v>376</v>
      </c>
      <c r="I45" s="2"/>
      <c r="J45" s="15" t="n">
        <v>73</v>
      </c>
      <c r="K45" s="15" t="n">
        <v>72</v>
      </c>
      <c r="L45" s="2" t="s">
        <v>547</v>
      </c>
      <c r="M45" s="2" t="str">
        <f aca="false">IF(J45="","",IF(J45&lt;=4,"≤4",IF(J45&lt;=10,"5–10",IF(J45&lt;=20,"11–20",IF(J45&lt;=50,"21–50",IF(J45&lt;=250,"51–250","251+"))))))</f>
        <v>51–250</v>
      </c>
      <c r="N45" s="2"/>
      <c r="O45" s="2"/>
      <c r="P45" s="2"/>
      <c r="Q45" s="2"/>
      <c r="R45" s="16"/>
      <c r="S45" s="2"/>
      <c r="T45" s="16"/>
      <c r="U45" s="2"/>
      <c r="V45" s="16"/>
      <c r="W45" s="2"/>
      <c r="X45" s="2" t="n">
        <v>2025</v>
      </c>
      <c r="Y45" s="2" t="s">
        <v>548</v>
      </c>
      <c r="Z45" s="17" t="s">
        <v>451</v>
      </c>
    </row>
    <row r="46" customFormat="false" ht="35.05" hidden="false" customHeight="false" outlineLevel="0" collapsed="false">
      <c r="A46" s="2" t="s">
        <v>549</v>
      </c>
      <c r="B46" s="2" t="s">
        <v>550</v>
      </c>
      <c r="C46" s="2" t="s">
        <v>551</v>
      </c>
      <c r="D46" s="2" t="s">
        <v>183</v>
      </c>
      <c r="E46" s="2" t="s">
        <v>103</v>
      </c>
      <c r="F46" s="2" t="s">
        <v>552</v>
      </c>
      <c r="G46" s="2" t="s">
        <v>71</v>
      </c>
      <c r="H46" s="2" t="s">
        <v>553</v>
      </c>
      <c r="I46" s="2" t="s">
        <v>336</v>
      </c>
      <c r="J46" s="15" t="n">
        <v>184</v>
      </c>
      <c r="K46" s="15" t="n">
        <v>182</v>
      </c>
      <c r="L46" s="2" t="s">
        <v>554</v>
      </c>
      <c r="M46" s="2" t="str">
        <f aca="false">IF(J46="","",IF(J46&lt;=4,"≤4",IF(J46&lt;=10,"5–10",IF(J46&lt;=20,"11–20",IF(J46&lt;=50,"21–50",IF(J46&lt;=250,"51–250","251+"))))))</f>
        <v>51–250</v>
      </c>
      <c r="N46" s="2" t="s">
        <v>473</v>
      </c>
      <c r="O46" s="2" t="s">
        <v>555</v>
      </c>
      <c r="P46" s="2" t="s">
        <v>556</v>
      </c>
      <c r="Q46" s="2" t="s">
        <v>557</v>
      </c>
      <c r="R46" s="16" t="n">
        <v>189000000</v>
      </c>
      <c r="S46" s="2" t="s">
        <v>558</v>
      </c>
      <c r="T46" s="16"/>
      <c r="U46" s="2" t="s">
        <v>559</v>
      </c>
      <c r="V46" s="16"/>
      <c r="W46" s="2" t="s">
        <v>560</v>
      </c>
      <c r="X46" s="2" t="n">
        <v>2026</v>
      </c>
      <c r="Y46" s="2" t="s">
        <v>561</v>
      </c>
      <c r="Z46" s="17" t="s">
        <v>562</v>
      </c>
    </row>
    <row r="47" customFormat="false" ht="23.85" hidden="false" customHeight="false" outlineLevel="0" collapsed="false">
      <c r="A47" s="2" t="s">
        <v>563</v>
      </c>
      <c r="B47" s="2" t="s">
        <v>564</v>
      </c>
      <c r="C47" s="2" t="s">
        <v>565</v>
      </c>
      <c r="D47" s="2" t="s">
        <v>212</v>
      </c>
      <c r="E47" s="2" t="s">
        <v>101</v>
      </c>
      <c r="F47" s="2" t="s">
        <v>566</v>
      </c>
      <c r="G47" s="2" t="s">
        <v>71</v>
      </c>
      <c r="H47" s="2" t="s">
        <v>553</v>
      </c>
      <c r="I47" s="2" t="s">
        <v>336</v>
      </c>
      <c r="J47" s="15" t="n">
        <v>89</v>
      </c>
      <c r="K47" s="15" t="n">
        <v>89</v>
      </c>
      <c r="L47" s="2" t="s">
        <v>567</v>
      </c>
      <c r="M47" s="2" t="str">
        <f aca="false">IF(J47="","",IF(J47&lt;=4,"≤4",IF(J47&lt;=10,"5–10",IF(J47&lt;=20,"11–20",IF(J47&lt;=50,"21–50",IF(J47&lt;=250,"51–250","251+"))))))</f>
        <v>51–250</v>
      </c>
      <c r="N47" s="2" t="s">
        <v>438</v>
      </c>
      <c r="O47" s="2"/>
      <c r="P47" s="2"/>
      <c r="Q47" s="2"/>
      <c r="R47" s="16"/>
      <c r="S47" s="2"/>
      <c r="T47" s="16"/>
      <c r="U47" s="2"/>
      <c r="V47" s="16"/>
      <c r="W47" s="2" t="s">
        <v>568</v>
      </c>
      <c r="X47" s="2" t="n">
        <v>2026</v>
      </c>
      <c r="Y47" s="2" t="s">
        <v>569</v>
      </c>
      <c r="Z47" s="17" t="s">
        <v>543</v>
      </c>
    </row>
    <row r="48" customFormat="false" ht="68.65" hidden="false" customHeight="false" outlineLevel="0" collapsed="false">
      <c r="A48" s="2" t="s">
        <v>570</v>
      </c>
      <c r="B48" s="2" t="s">
        <v>571</v>
      </c>
      <c r="C48" s="2" t="s">
        <v>571</v>
      </c>
      <c r="D48" s="2" t="s">
        <v>572</v>
      </c>
      <c r="E48" s="2" t="s">
        <v>107</v>
      </c>
      <c r="F48" s="2" t="s">
        <v>573</v>
      </c>
      <c r="G48" s="2" t="s">
        <v>71</v>
      </c>
      <c r="H48" s="2" t="s">
        <v>574</v>
      </c>
      <c r="I48" s="2" t="s">
        <v>336</v>
      </c>
      <c r="J48" s="15" t="n">
        <v>425</v>
      </c>
      <c r="K48" s="15" t="n">
        <v>425</v>
      </c>
      <c r="L48" s="2" t="s">
        <v>575</v>
      </c>
      <c r="M48" s="2" t="str">
        <f aca="false">IF(J48="","",IF(J48&lt;=4,"≤4",IF(J48&lt;=10,"5–10",IF(J48&lt;=20,"11–20",IF(J48&lt;=50,"21–50",IF(J48&lt;=250,"51–250","251+"))))))</f>
        <v>251+</v>
      </c>
      <c r="N48" s="2" t="s">
        <v>576</v>
      </c>
      <c r="O48" s="2" t="s">
        <v>577</v>
      </c>
      <c r="P48" s="2" t="s">
        <v>578</v>
      </c>
      <c r="Q48" s="2" t="s">
        <v>579</v>
      </c>
      <c r="R48" s="18" t="n">
        <v>200000000</v>
      </c>
      <c r="S48" s="2" t="s">
        <v>580</v>
      </c>
      <c r="T48" s="16"/>
      <c r="U48" s="2" t="s">
        <v>581</v>
      </c>
      <c r="V48" s="16"/>
      <c r="W48" s="2" t="s">
        <v>582</v>
      </c>
      <c r="X48" s="2"/>
      <c r="Y48" s="2" t="s">
        <v>583</v>
      </c>
      <c r="Z48" s="17" t="s">
        <v>584</v>
      </c>
    </row>
    <row r="49" customFormat="false" ht="35.05" hidden="false" customHeight="false" outlineLevel="0" collapsed="false">
      <c r="A49" s="2" t="s">
        <v>585</v>
      </c>
      <c r="B49" s="2" t="s">
        <v>586</v>
      </c>
      <c r="C49" s="2" t="s">
        <v>587</v>
      </c>
      <c r="D49" s="2" t="s">
        <v>198</v>
      </c>
      <c r="E49" s="2" t="s">
        <v>100</v>
      </c>
      <c r="F49" s="2" t="s">
        <v>588</v>
      </c>
      <c r="G49" s="2" t="s">
        <v>71</v>
      </c>
      <c r="H49" s="2" t="s">
        <v>589</v>
      </c>
      <c r="I49" s="2" t="s">
        <v>336</v>
      </c>
      <c r="J49" s="15" t="n">
        <v>303</v>
      </c>
      <c r="K49" s="15" t="n">
        <v>101</v>
      </c>
      <c r="L49" s="2" t="s">
        <v>590</v>
      </c>
      <c r="M49" s="2" t="str">
        <f aca="false">IF(J49="","",IF(J49&lt;=4,"≤4",IF(J49&lt;=10,"5–10",IF(J49&lt;=20,"11–20",IF(J49&lt;=50,"21–50",IF(J49&lt;=250,"51–250","251+"))))))</f>
        <v>251+</v>
      </c>
      <c r="N49" s="2" t="s">
        <v>591</v>
      </c>
      <c r="O49" s="2"/>
      <c r="P49" s="2" t="s">
        <v>592</v>
      </c>
      <c r="Q49" s="2" t="s">
        <v>509</v>
      </c>
      <c r="R49" s="16"/>
      <c r="S49" s="2" t="s">
        <v>593</v>
      </c>
      <c r="T49" s="16"/>
      <c r="U49" s="2" t="s">
        <v>594</v>
      </c>
      <c r="V49" s="16" t="n">
        <v>51000000</v>
      </c>
      <c r="W49" s="2" t="s">
        <v>595</v>
      </c>
      <c r="X49" s="2"/>
      <c r="Y49" s="2" t="s">
        <v>596</v>
      </c>
      <c r="Z49" s="17" t="s">
        <v>597</v>
      </c>
    </row>
    <row r="50" customFormat="false" ht="46.25" hidden="false" customHeight="false" outlineLevel="0" collapsed="false">
      <c r="A50" s="2" t="s">
        <v>598</v>
      </c>
      <c r="B50" s="2" t="s">
        <v>599</v>
      </c>
      <c r="C50" s="2" t="s">
        <v>600</v>
      </c>
      <c r="D50" s="2" t="s">
        <v>196</v>
      </c>
      <c r="E50" s="2" t="s">
        <v>106</v>
      </c>
      <c r="F50" s="2" t="s">
        <v>601</v>
      </c>
      <c r="G50" s="2" t="s">
        <v>71</v>
      </c>
      <c r="H50" s="2" t="s">
        <v>553</v>
      </c>
      <c r="I50" s="2" t="s">
        <v>336</v>
      </c>
      <c r="J50" s="15" t="n">
        <v>168</v>
      </c>
      <c r="K50" s="15" t="n">
        <v>167</v>
      </c>
      <c r="L50" s="2" t="s">
        <v>602</v>
      </c>
      <c r="M50" s="2" t="str">
        <f aca="false">IF(J50="","",IF(J50&lt;=4,"≤4",IF(J50&lt;=10,"5–10",IF(J50&lt;=20,"11–20",IF(J50&lt;=50,"21–50",IF(J50&lt;=250,"51–250","251+"))))))</f>
        <v>51–250</v>
      </c>
      <c r="N50" s="2" t="s">
        <v>603</v>
      </c>
      <c r="O50" s="2" t="s">
        <v>478</v>
      </c>
      <c r="P50" s="2" t="s">
        <v>604</v>
      </c>
      <c r="Q50" s="2" t="s">
        <v>605</v>
      </c>
      <c r="R50" s="16" t="n">
        <v>167700000</v>
      </c>
      <c r="S50" s="2" t="s">
        <v>606</v>
      </c>
      <c r="T50" s="16"/>
      <c r="U50" s="2" t="s">
        <v>607</v>
      </c>
      <c r="V50" s="16" t="n">
        <v>82142319</v>
      </c>
      <c r="W50" s="2" t="s">
        <v>608</v>
      </c>
      <c r="X50" s="2"/>
      <c r="Y50" s="2" t="s">
        <v>609</v>
      </c>
      <c r="Z50" s="17" t="s">
        <v>610</v>
      </c>
    </row>
    <row r="51" customFormat="false" ht="23.85" hidden="false" customHeight="false" outlineLevel="0" collapsed="false">
      <c r="A51" s="2" t="s">
        <v>611</v>
      </c>
      <c r="B51" s="2" t="s">
        <v>612</v>
      </c>
      <c r="C51" s="2" t="s">
        <v>613</v>
      </c>
      <c r="D51" s="2" t="s">
        <v>196</v>
      </c>
      <c r="E51" s="2" t="s">
        <v>106</v>
      </c>
      <c r="F51" s="2" t="s">
        <v>614</v>
      </c>
      <c r="G51" s="2" t="s">
        <v>71</v>
      </c>
      <c r="H51" s="2" t="s">
        <v>615</v>
      </c>
      <c r="I51" s="2" t="s">
        <v>336</v>
      </c>
      <c r="J51" s="15" t="n">
        <v>136</v>
      </c>
      <c r="K51" s="15" t="n">
        <v>136</v>
      </c>
      <c r="L51" s="2" t="s">
        <v>616</v>
      </c>
      <c r="M51" s="2" t="str">
        <f aca="false">IF(J51="","",IF(J51&lt;=4,"≤4",IF(J51&lt;=10,"5–10",IF(J51&lt;=20,"11–20",IF(J51&lt;=50,"21–50",IF(J51&lt;=250,"51–250","251+"))))))</f>
        <v>51–250</v>
      </c>
      <c r="N51" s="2" t="s">
        <v>385</v>
      </c>
      <c r="O51" s="2" t="s">
        <v>603</v>
      </c>
      <c r="P51" s="2"/>
      <c r="Q51" s="2"/>
      <c r="R51" s="16"/>
      <c r="S51" s="2"/>
      <c r="T51" s="16"/>
      <c r="U51" s="2"/>
      <c r="V51" s="16"/>
      <c r="W51" s="2" t="s">
        <v>617</v>
      </c>
      <c r="X51" s="2"/>
      <c r="Y51" s="2" t="s">
        <v>618</v>
      </c>
      <c r="Z51" s="17" t="s">
        <v>543</v>
      </c>
    </row>
    <row r="52" customFormat="false" ht="23.85" hidden="false" customHeight="false" outlineLevel="0" collapsed="false">
      <c r="A52" s="2" t="s">
        <v>619</v>
      </c>
      <c r="B52" s="2" t="s">
        <v>620</v>
      </c>
      <c r="C52" s="2" t="s">
        <v>621</v>
      </c>
      <c r="D52" s="2" t="s">
        <v>216</v>
      </c>
      <c r="E52" s="2" t="s">
        <v>107</v>
      </c>
      <c r="F52" s="2" t="s">
        <v>622</v>
      </c>
      <c r="G52" s="2" t="s">
        <v>71</v>
      </c>
      <c r="H52" s="2" t="s">
        <v>471</v>
      </c>
      <c r="I52" s="2" t="s">
        <v>336</v>
      </c>
      <c r="J52" s="15" t="n">
        <v>95</v>
      </c>
      <c r="K52" s="15" t="n">
        <v>94</v>
      </c>
      <c r="L52" s="2" t="s">
        <v>623</v>
      </c>
      <c r="M52" s="2" t="str">
        <f aca="false">IF(J52="","",IF(J52&lt;=4,"≤4",IF(J52&lt;=10,"5–10",IF(J52&lt;=20,"11–20",IF(J52&lt;=50,"21–50",IF(J52&lt;=250,"51–250","251+"))))))</f>
        <v>51–250</v>
      </c>
      <c r="N52" s="2" t="s">
        <v>384</v>
      </c>
      <c r="O52" s="2" t="s">
        <v>473</v>
      </c>
      <c r="P52" s="2"/>
      <c r="Q52" s="2"/>
      <c r="R52" s="16"/>
      <c r="S52" s="2"/>
      <c r="T52" s="16"/>
      <c r="U52" s="2"/>
      <c r="V52" s="16"/>
      <c r="W52" s="2" t="s">
        <v>624</v>
      </c>
      <c r="X52" s="2"/>
      <c r="Y52" s="2"/>
      <c r="Z52" s="17" t="s">
        <v>543</v>
      </c>
    </row>
    <row r="53" customFormat="false" ht="23.85" hidden="false" customHeight="false" outlineLevel="0" collapsed="false">
      <c r="A53" s="2" t="s">
        <v>625</v>
      </c>
      <c r="B53" s="2" t="s">
        <v>626</v>
      </c>
      <c r="C53" s="2" t="s">
        <v>627</v>
      </c>
      <c r="D53" s="2" t="s">
        <v>216</v>
      </c>
      <c r="E53" s="2" t="s">
        <v>107</v>
      </c>
      <c r="F53" s="2" t="s">
        <v>628</v>
      </c>
      <c r="G53" s="2" t="s">
        <v>71</v>
      </c>
      <c r="H53" s="2" t="s">
        <v>471</v>
      </c>
      <c r="I53" s="2" t="s">
        <v>336</v>
      </c>
      <c r="J53" s="15" t="n">
        <v>89</v>
      </c>
      <c r="K53" s="15" t="n">
        <v>88</v>
      </c>
      <c r="L53" s="2" t="s">
        <v>629</v>
      </c>
      <c r="M53" s="2" t="str">
        <f aca="false">IF(J53="","",IF(J53&lt;=4,"≤4",IF(J53&lt;=10,"5–10",IF(J53&lt;=20,"11–20",IF(J53&lt;=50,"21–50",IF(J53&lt;=250,"51–250","251+"))))))</f>
        <v>51–250</v>
      </c>
      <c r="N53" s="2" t="s">
        <v>473</v>
      </c>
      <c r="O53" s="2" t="s">
        <v>384</v>
      </c>
      <c r="P53" s="2"/>
      <c r="Q53" s="2"/>
      <c r="R53" s="16"/>
      <c r="S53" s="2"/>
      <c r="T53" s="16"/>
      <c r="U53" s="2"/>
      <c r="V53" s="16"/>
      <c r="W53" s="2" t="s">
        <v>630</v>
      </c>
      <c r="X53" s="2"/>
      <c r="Y53" s="2"/>
      <c r="Z53" s="17" t="s">
        <v>543</v>
      </c>
    </row>
    <row r="54" customFormat="false" ht="35.05" hidden="false" customHeight="false" outlineLevel="0" collapsed="false">
      <c r="A54" s="2" t="s">
        <v>631</v>
      </c>
      <c r="B54" s="2" t="s">
        <v>632</v>
      </c>
      <c r="C54" s="2" t="s">
        <v>633</v>
      </c>
      <c r="D54" s="2" t="s">
        <v>217</v>
      </c>
      <c r="E54" s="2" t="s">
        <v>104</v>
      </c>
      <c r="F54" s="2" t="s">
        <v>634</v>
      </c>
      <c r="G54" s="2" t="s">
        <v>71</v>
      </c>
      <c r="H54" s="2" t="s">
        <v>553</v>
      </c>
      <c r="I54" s="2" t="s">
        <v>336</v>
      </c>
      <c r="J54" s="15" t="n">
        <v>128</v>
      </c>
      <c r="K54" s="15" t="n">
        <v>127</v>
      </c>
      <c r="L54" s="2" t="s">
        <v>635</v>
      </c>
      <c r="M54" s="2" t="str">
        <f aca="false">IF(J54="","",IF(J54&lt;=4,"≤4",IF(J54&lt;=10,"5–10",IF(J54&lt;=20,"11–20",IF(J54&lt;=50,"21–50",IF(J54&lt;=250,"51–250","251+"))))))</f>
        <v>51–250</v>
      </c>
      <c r="N54" s="2" t="s">
        <v>422</v>
      </c>
      <c r="O54" s="2" t="s">
        <v>636</v>
      </c>
      <c r="P54" s="2"/>
      <c r="Q54" s="2" t="s">
        <v>637</v>
      </c>
      <c r="R54" s="16" t="n">
        <v>80000000</v>
      </c>
      <c r="S54" s="2" t="s">
        <v>638</v>
      </c>
      <c r="T54" s="16"/>
      <c r="U54" s="2" t="s">
        <v>639</v>
      </c>
      <c r="V54" s="16"/>
      <c r="W54" s="2" t="s">
        <v>640</v>
      </c>
      <c r="X54" s="2"/>
      <c r="Y54" s="2" t="s">
        <v>641</v>
      </c>
      <c r="Z54" s="17" t="s">
        <v>642</v>
      </c>
    </row>
    <row r="55" customFormat="false" ht="35.05" hidden="false" customHeight="false" outlineLevel="0" collapsed="false">
      <c r="A55" s="2" t="s">
        <v>643</v>
      </c>
      <c r="B55" s="2" t="s">
        <v>644</v>
      </c>
      <c r="C55" s="2" t="s">
        <v>644</v>
      </c>
      <c r="D55" s="2" t="s">
        <v>218</v>
      </c>
      <c r="E55" s="2" t="s">
        <v>102</v>
      </c>
      <c r="F55" s="2" t="s">
        <v>645</v>
      </c>
      <c r="G55" s="2" t="s">
        <v>71</v>
      </c>
      <c r="H55" s="2" t="s">
        <v>553</v>
      </c>
      <c r="I55" s="2" t="s">
        <v>336</v>
      </c>
      <c r="J55" s="15" t="n">
        <v>92</v>
      </c>
      <c r="K55" s="15" t="n">
        <v>91</v>
      </c>
      <c r="L55" s="2" t="s">
        <v>646</v>
      </c>
      <c r="M55" s="2" t="str">
        <f aca="false">IF(J55="","",IF(J55&lt;=4,"≤4",IF(J55&lt;=10,"5–10",IF(J55&lt;=20,"11–20",IF(J55&lt;=50,"21–50",IF(J55&lt;=250,"51–250","251+"))))))</f>
        <v>51–250</v>
      </c>
      <c r="N55" s="2" t="s">
        <v>427</v>
      </c>
      <c r="O55" s="2"/>
      <c r="P55" s="2"/>
      <c r="Q55" s="2"/>
      <c r="R55" s="16"/>
      <c r="S55" s="2"/>
      <c r="T55" s="16"/>
      <c r="U55" s="2"/>
      <c r="V55" s="16"/>
      <c r="W55" s="2" t="s">
        <v>630</v>
      </c>
      <c r="X55" s="2"/>
      <c r="Y55" s="2" t="s">
        <v>647</v>
      </c>
      <c r="Z55" s="17" t="s">
        <v>648</v>
      </c>
    </row>
    <row r="56" customFormat="false" ht="23.85" hidden="false" customHeight="false" outlineLevel="0" collapsed="false">
      <c r="A56" s="2" t="s">
        <v>649</v>
      </c>
      <c r="B56" s="2" t="s">
        <v>650</v>
      </c>
      <c r="C56" s="2" t="s">
        <v>651</v>
      </c>
      <c r="D56" s="2" t="s">
        <v>218</v>
      </c>
      <c r="E56" s="2" t="s">
        <v>102</v>
      </c>
      <c r="F56" s="2" t="s">
        <v>652</v>
      </c>
      <c r="G56" s="2" t="s">
        <v>71</v>
      </c>
      <c r="H56" s="2" t="s">
        <v>653</v>
      </c>
      <c r="I56" s="2" t="s">
        <v>336</v>
      </c>
      <c r="J56" s="15" t="n">
        <v>75</v>
      </c>
      <c r="K56" s="15" t="n">
        <v>74</v>
      </c>
      <c r="L56" s="2" t="s">
        <v>654</v>
      </c>
      <c r="M56" s="2" t="str">
        <f aca="false">IF(J56="","",IF(J56&lt;=4,"≤4",IF(J56&lt;=10,"5–10",IF(J56&lt;=20,"11–20",IF(J56&lt;=50,"21–50",IF(J56&lt;=250,"51–250","251+"))))))</f>
        <v>51–250</v>
      </c>
      <c r="N56" s="2" t="s">
        <v>427</v>
      </c>
      <c r="O56" s="2"/>
      <c r="P56" s="2"/>
      <c r="Q56" s="2"/>
      <c r="R56" s="16"/>
      <c r="S56" s="2"/>
      <c r="T56" s="16"/>
      <c r="U56" s="2"/>
      <c r="V56" s="16"/>
      <c r="W56" s="2" t="s">
        <v>655</v>
      </c>
      <c r="X56" s="2"/>
      <c r="Y56" s="2" t="s">
        <v>656</v>
      </c>
      <c r="Z56" s="17" t="s">
        <v>543</v>
      </c>
    </row>
    <row r="57" customFormat="false" ht="23.85" hidden="false" customHeight="false" outlineLevel="0" collapsed="false">
      <c r="A57" s="2" t="s">
        <v>657</v>
      </c>
      <c r="B57" s="2" t="s">
        <v>658</v>
      </c>
      <c r="C57" s="2" t="s">
        <v>659</v>
      </c>
      <c r="D57" s="2" t="s">
        <v>211</v>
      </c>
      <c r="E57" s="2" t="s">
        <v>103</v>
      </c>
      <c r="F57" s="2" t="s">
        <v>622</v>
      </c>
      <c r="G57" s="2" t="s">
        <v>71</v>
      </c>
      <c r="H57" s="2" t="s">
        <v>660</v>
      </c>
      <c r="I57" s="2" t="s">
        <v>336</v>
      </c>
      <c r="J57" s="15" t="n">
        <v>85</v>
      </c>
      <c r="K57" s="15" t="n">
        <v>84</v>
      </c>
      <c r="L57" s="2" t="s">
        <v>661</v>
      </c>
      <c r="M57" s="2" t="str">
        <f aca="false">IF(J57="","",IF(J57&lt;=4,"≤4",IF(J57&lt;=10,"5–10",IF(J57&lt;=20,"11–20",IF(J57&lt;=50,"21–50",IF(J57&lt;=250,"51–250","251+"))))))</f>
        <v>51–250</v>
      </c>
      <c r="N57" s="2" t="s">
        <v>384</v>
      </c>
      <c r="O57" s="2" t="s">
        <v>662</v>
      </c>
      <c r="P57" s="2"/>
      <c r="Q57" s="2"/>
      <c r="R57" s="16"/>
      <c r="S57" s="2"/>
      <c r="T57" s="16"/>
      <c r="U57" s="2"/>
      <c r="V57" s="16"/>
      <c r="W57" s="2" t="s">
        <v>663</v>
      </c>
      <c r="X57" s="2"/>
      <c r="Y57" s="2" t="s">
        <v>664</v>
      </c>
      <c r="Z57" s="17" t="s">
        <v>543</v>
      </c>
    </row>
    <row r="58" customFormat="false" ht="23.85" hidden="false" customHeight="false" outlineLevel="0" collapsed="false">
      <c r="A58" s="2" t="s">
        <v>665</v>
      </c>
      <c r="B58" s="2" t="s">
        <v>666</v>
      </c>
      <c r="C58" s="2" t="s">
        <v>667</v>
      </c>
      <c r="D58" s="2" t="s">
        <v>211</v>
      </c>
      <c r="E58" s="2" t="s">
        <v>103</v>
      </c>
      <c r="F58" s="2" t="s">
        <v>668</v>
      </c>
      <c r="G58" s="2" t="s">
        <v>71</v>
      </c>
      <c r="H58" s="2" t="s">
        <v>495</v>
      </c>
      <c r="I58" s="2" t="s">
        <v>336</v>
      </c>
      <c r="J58" s="15" t="n">
        <v>95</v>
      </c>
      <c r="K58" s="15" t="n">
        <v>94</v>
      </c>
      <c r="L58" s="2" t="s">
        <v>669</v>
      </c>
      <c r="M58" s="2" t="str">
        <f aca="false">IF(J58="","",IF(J58&lt;=4,"≤4",IF(J58&lt;=10,"5–10",IF(J58&lt;=20,"11–20",IF(J58&lt;=50,"21–50",IF(J58&lt;=250,"51–250","251+"))))))</f>
        <v>51–250</v>
      </c>
      <c r="N58" s="2" t="s">
        <v>670</v>
      </c>
      <c r="O58" s="2" t="s">
        <v>541</v>
      </c>
      <c r="P58" s="2"/>
      <c r="Q58" s="2"/>
      <c r="R58" s="16"/>
      <c r="S58" s="2"/>
      <c r="T58" s="16"/>
      <c r="U58" s="2"/>
      <c r="V58" s="16"/>
      <c r="W58" s="2" t="s">
        <v>671</v>
      </c>
      <c r="X58" s="2"/>
      <c r="Y58" s="2" t="s">
        <v>672</v>
      </c>
      <c r="Z58" s="17" t="s">
        <v>543</v>
      </c>
    </row>
    <row r="59" customFormat="false" ht="23.85" hidden="false" customHeight="false" outlineLevel="0" collapsed="false">
      <c r="A59" s="2" t="s">
        <v>673</v>
      </c>
      <c r="B59" s="2" t="s">
        <v>674</v>
      </c>
      <c r="C59" s="2" t="s">
        <v>674</v>
      </c>
      <c r="D59" s="2" t="s">
        <v>179</v>
      </c>
      <c r="E59" s="2" t="s">
        <v>106</v>
      </c>
      <c r="F59" s="2" t="s">
        <v>652</v>
      </c>
      <c r="G59" s="2" t="s">
        <v>71</v>
      </c>
      <c r="H59" s="2" t="s">
        <v>675</v>
      </c>
      <c r="I59" s="2" t="s">
        <v>336</v>
      </c>
      <c r="J59" s="15" t="n">
        <v>35</v>
      </c>
      <c r="K59" s="15" t="n">
        <v>34</v>
      </c>
      <c r="L59" s="2" t="s">
        <v>676</v>
      </c>
      <c r="M59" s="2" t="str">
        <f aca="false">IF(J59="","",IF(J59&lt;=4,"≤4",IF(J59&lt;=10,"5–10",IF(J59&lt;=20,"11–20",IF(J59&lt;=50,"21–50",IF(J59&lt;=250,"51–250","251+"))))))</f>
        <v>21–50</v>
      </c>
      <c r="N59" s="2" t="s">
        <v>677</v>
      </c>
      <c r="O59" s="2" t="s">
        <v>678</v>
      </c>
      <c r="P59" s="2"/>
      <c r="Q59" s="2"/>
      <c r="R59" s="16"/>
      <c r="S59" s="2"/>
      <c r="T59" s="16"/>
      <c r="U59" s="2"/>
      <c r="V59" s="16"/>
      <c r="W59" s="2" t="s">
        <v>655</v>
      </c>
      <c r="X59" s="2"/>
      <c r="Y59" s="2" t="s">
        <v>679</v>
      </c>
      <c r="Z59" s="17" t="s">
        <v>543</v>
      </c>
    </row>
    <row r="60" customFormat="false" ht="23.85" hidden="false" customHeight="false" outlineLevel="0" collapsed="false">
      <c r="A60" s="2" t="s">
        <v>680</v>
      </c>
      <c r="B60" s="2" t="s">
        <v>681</v>
      </c>
      <c r="C60" s="2" t="s">
        <v>682</v>
      </c>
      <c r="D60" s="2" t="s">
        <v>178</v>
      </c>
      <c r="E60" s="2" t="s">
        <v>107</v>
      </c>
      <c r="F60" s="2" t="s">
        <v>628</v>
      </c>
      <c r="G60" s="2" t="s">
        <v>71</v>
      </c>
      <c r="H60" s="2" t="s">
        <v>683</v>
      </c>
      <c r="I60" s="2" t="s">
        <v>364</v>
      </c>
      <c r="J60" s="15" t="n">
        <v>87</v>
      </c>
      <c r="K60" s="15" t="n">
        <v>11</v>
      </c>
      <c r="L60" s="2" t="s">
        <v>684</v>
      </c>
      <c r="M60" s="2" t="str">
        <f aca="false">IF(J60="","",IF(J60&lt;=4,"≤4",IF(J60&lt;=10,"5–10",IF(J60&lt;=20,"11–20",IF(J60&lt;=50,"21–50",IF(J60&lt;=250,"51–250","251+"))))))</f>
        <v>51–250</v>
      </c>
      <c r="N60" s="2" t="s">
        <v>685</v>
      </c>
      <c r="O60" s="2"/>
      <c r="P60" s="2"/>
      <c r="Q60" s="2"/>
      <c r="R60" s="16"/>
      <c r="S60" s="2"/>
      <c r="T60" s="16"/>
      <c r="U60" s="2"/>
      <c r="V60" s="16"/>
      <c r="W60" s="2" t="s">
        <v>663</v>
      </c>
      <c r="X60" s="2"/>
      <c r="Y60" s="2"/>
      <c r="Z60" s="17" t="s">
        <v>543</v>
      </c>
    </row>
    <row r="61" customFormat="false" ht="23.85" hidden="false" customHeight="false" outlineLevel="0" collapsed="false">
      <c r="A61" s="2" t="s">
        <v>686</v>
      </c>
      <c r="B61" s="2" t="s">
        <v>687</v>
      </c>
      <c r="C61" s="2" t="s">
        <v>688</v>
      </c>
      <c r="D61" s="2" t="s">
        <v>178</v>
      </c>
      <c r="E61" s="2" t="s">
        <v>107</v>
      </c>
      <c r="F61" s="2" t="s">
        <v>689</v>
      </c>
      <c r="G61" s="2" t="s">
        <v>71</v>
      </c>
      <c r="H61" s="2" t="s">
        <v>683</v>
      </c>
      <c r="I61" s="2" t="s">
        <v>364</v>
      </c>
      <c r="J61" s="15" t="n">
        <v>174</v>
      </c>
      <c r="K61" s="15" t="n">
        <v>25</v>
      </c>
      <c r="L61" s="2" t="s">
        <v>690</v>
      </c>
      <c r="M61" s="2" t="str">
        <f aca="false">IF(J61="","",IF(J61&lt;=4,"≤4",IF(J61&lt;=10,"5–10",IF(J61&lt;=20,"11–20",IF(J61&lt;=50,"21–50",IF(J61&lt;=250,"51–250","251+"))))))</f>
        <v>51–250</v>
      </c>
      <c r="N61" s="2" t="s">
        <v>691</v>
      </c>
      <c r="O61" s="2"/>
      <c r="P61" s="2"/>
      <c r="Q61" s="2"/>
      <c r="R61" s="16"/>
      <c r="S61" s="2"/>
      <c r="T61" s="16"/>
      <c r="U61" s="2"/>
      <c r="V61" s="16"/>
      <c r="W61" s="2" t="s">
        <v>692</v>
      </c>
      <c r="X61" s="2"/>
      <c r="Y61" s="2"/>
      <c r="Z61" s="17" t="s">
        <v>543</v>
      </c>
    </row>
    <row r="62" customFormat="false" ht="23.85" hidden="false" customHeight="false" outlineLevel="0" collapsed="false">
      <c r="A62" s="2" t="s">
        <v>693</v>
      </c>
      <c r="B62" s="2" t="s">
        <v>694</v>
      </c>
      <c r="C62" s="2" t="s">
        <v>695</v>
      </c>
      <c r="D62" s="2" t="s">
        <v>178</v>
      </c>
      <c r="E62" s="2" t="s">
        <v>107</v>
      </c>
      <c r="F62" s="2" t="s">
        <v>696</v>
      </c>
      <c r="G62" s="2" t="s">
        <v>71</v>
      </c>
      <c r="H62" s="2" t="s">
        <v>683</v>
      </c>
      <c r="I62" s="2" t="s">
        <v>364</v>
      </c>
      <c r="J62" s="15" t="n">
        <v>73</v>
      </c>
      <c r="K62" s="15" t="n">
        <v>10</v>
      </c>
      <c r="L62" s="2" t="s">
        <v>697</v>
      </c>
      <c r="M62" s="2" t="str">
        <f aca="false">IF(J62="","",IF(J62&lt;=4,"≤4",IF(J62&lt;=10,"5–10",IF(J62&lt;=20,"11–20",IF(J62&lt;=50,"21–50",IF(J62&lt;=250,"51–250","251+"))))))</f>
        <v>51–250</v>
      </c>
      <c r="N62" s="2" t="s">
        <v>691</v>
      </c>
      <c r="O62" s="2"/>
      <c r="P62" s="2"/>
      <c r="Q62" s="2"/>
      <c r="R62" s="16"/>
      <c r="S62" s="2"/>
      <c r="T62" s="16"/>
      <c r="U62" s="2"/>
      <c r="V62" s="16"/>
      <c r="W62" s="2" t="s">
        <v>698</v>
      </c>
      <c r="X62" s="2"/>
      <c r="Y62" s="2"/>
      <c r="Z62" s="17" t="s">
        <v>543</v>
      </c>
    </row>
    <row r="63" customFormat="false" ht="23.85" hidden="false" customHeight="false" outlineLevel="0" collapsed="false">
      <c r="A63" s="2" t="s">
        <v>699</v>
      </c>
      <c r="B63" s="2" t="s">
        <v>700</v>
      </c>
      <c r="C63" s="2" t="s">
        <v>700</v>
      </c>
      <c r="D63" s="2" t="s">
        <v>206</v>
      </c>
      <c r="E63" s="2" t="s">
        <v>107</v>
      </c>
      <c r="F63" s="2" t="s">
        <v>701</v>
      </c>
      <c r="G63" s="2" t="s">
        <v>71</v>
      </c>
      <c r="H63" s="2" t="s">
        <v>702</v>
      </c>
      <c r="I63" s="2" t="s">
        <v>336</v>
      </c>
      <c r="J63" s="15" t="n">
        <v>25</v>
      </c>
      <c r="K63" s="15" t="n">
        <v>3</v>
      </c>
      <c r="L63" s="2" t="s">
        <v>703</v>
      </c>
      <c r="M63" s="2" t="str">
        <f aca="false">IF(J63="","",IF(J63&lt;=4,"≤4",IF(J63&lt;=10,"5–10",IF(J63&lt;=20,"11–20",IF(J63&lt;=50,"21–50",IF(J63&lt;=250,"51–250","251+"))))))</f>
        <v>21–50</v>
      </c>
      <c r="N63" s="2" t="s">
        <v>704</v>
      </c>
      <c r="O63" s="2"/>
      <c r="P63" s="2"/>
      <c r="Q63" s="2"/>
      <c r="R63" s="16"/>
      <c r="S63" s="2"/>
      <c r="T63" s="16"/>
      <c r="U63" s="2"/>
      <c r="V63" s="16"/>
      <c r="W63" s="2"/>
      <c r="X63" s="2"/>
      <c r="Y63" s="2" t="s">
        <v>705</v>
      </c>
      <c r="Z63" s="17" t="s">
        <v>543</v>
      </c>
    </row>
    <row r="64" customFormat="false" ht="23.85" hidden="false" customHeight="false" outlineLevel="0" collapsed="false">
      <c r="A64" s="2" t="s">
        <v>706</v>
      </c>
      <c r="B64" s="2" t="s">
        <v>707</v>
      </c>
      <c r="C64" s="2" t="s">
        <v>707</v>
      </c>
      <c r="D64" s="2" t="s">
        <v>196</v>
      </c>
      <c r="E64" s="2" t="s">
        <v>106</v>
      </c>
      <c r="F64" s="2" t="s">
        <v>708</v>
      </c>
      <c r="G64" s="2" t="s">
        <v>71</v>
      </c>
      <c r="H64" s="2" t="s">
        <v>702</v>
      </c>
      <c r="I64" s="2" t="s">
        <v>336</v>
      </c>
      <c r="J64" s="15" t="n">
        <v>75</v>
      </c>
      <c r="K64" s="15" t="n">
        <v>8</v>
      </c>
      <c r="L64" s="2" t="s">
        <v>709</v>
      </c>
      <c r="M64" s="2" t="str">
        <f aca="false">IF(J64="","",IF(J64&lt;=4,"≤4",IF(J64&lt;=10,"5–10",IF(J64&lt;=20,"11–20",IF(J64&lt;=50,"21–50",IF(J64&lt;=250,"51–250","251+"))))))</f>
        <v>51–250</v>
      </c>
      <c r="N64" s="2" t="s">
        <v>710</v>
      </c>
      <c r="O64" s="2"/>
      <c r="P64" s="2"/>
      <c r="Q64" s="2"/>
      <c r="R64" s="16"/>
      <c r="S64" s="2"/>
      <c r="T64" s="16"/>
      <c r="U64" s="2"/>
      <c r="V64" s="16"/>
      <c r="W64" s="2"/>
      <c r="X64" s="2"/>
      <c r="Y64" s="2"/>
      <c r="Z64" s="17" t="s">
        <v>543</v>
      </c>
    </row>
    <row r="65" customFormat="false" ht="23.85" hidden="false" customHeight="false" outlineLevel="0" collapsed="false">
      <c r="A65" s="2" t="s">
        <v>711</v>
      </c>
      <c r="B65" s="2" t="s">
        <v>712</v>
      </c>
      <c r="C65" s="2" t="s">
        <v>712</v>
      </c>
      <c r="D65" s="2" t="s">
        <v>196</v>
      </c>
      <c r="E65" s="2" t="s">
        <v>106</v>
      </c>
      <c r="F65" s="2" t="s">
        <v>713</v>
      </c>
      <c r="G65" s="2" t="s">
        <v>71</v>
      </c>
      <c r="H65" s="2" t="s">
        <v>702</v>
      </c>
      <c r="I65" s="2" t="s">
        <v>364</v>
      </c>
      <c r="J65" s="15" t="n">
        <v>52</v>
      </c>
      <c r="K65" s="15" t="n">
        <v>6</v>
      </c>
      <c r="L65" s="2" t="s">
        <v>714</v>
      </c>
      <c r="M65" s="2" t="str">
        <f aca="false">IF(J65="","",IF(J65&lt;=4,"≤4",IF(J65&lt;=10,"5–10",IF(J65&lt;=20,"11–20",IF(J65&lt;=50,"21–50",IF(J65&lt;=250,"51–250","251+"))))))</f>
        <v>51–250</v>
      </c>
      <c r="N65" s="2" t="s">
        <v>715</v>
      </c>
      <c r="O65" s="2"/>
      <c r="P65" s="2"/>
      <c r="Q65" s="2"/>
      <c r="R65" s="16"/>
      <c r="S65" s="2"/>
      <c r="T65" s="16"/>
      <c r="U65" s="2"/>
      <c r="V65" s="16"/>
      <c r="W65" s="2"/>
      <c r="X65" s="2"/>
      <c r="Y65" s="2"/>
      <c r="Z65" s="17" t="s">
        <v>543</v>
      </c>
    </row>
    <row r="66" customFormat="false" ht="23.85" hidden="false" customHeight="false" outlineLevel="0" collapsed="false">
      <c r="A66" s="2" t="s">
        <v>716</v>
      </c>
      <c r="B66" s="2" t="s">
        <v>717</v>
      </c>
      <c r="C66" s="2" t="s">
        <v>717</v>
      </c>
      <c r="D66" s="2" t="s">
        <v>196</v>
      </c>
      <c r="E66" s="2" t="s">
        <v>106</v>
      </c>
      <c r="F66" s="2" t="s">
        <v>718</v>
      </c>
      <c r="G66" s="2" t="s">
        <v>71</v>
      </c>
      <c r="H66" s="2" t="s">
        <v>702</v>
      </c>
      <c r="I66" s="2" t="s">
        <v>336</v>
      </c>
      <c r="J66" s="15" t="n">
        <v>42</v>
      </c>
      <c r="K66" s="15" t="n">
        <v>5</v>
      </c>
      <c r="L66" s="2" t="s">
        <v>719</v>
      </c>
      <c r="M66" s="2" t="str">
        <f aca="false">IF(J66="","",IF(J66&lt;=4,"≤4",IF(J66&lt;=10,"5–10",IF(J66&lt;=20,"11–20",IF(J66&lt;=50,"21–50",IF(J66&lt;=250,"51–250","251+"))))))</f>
        <v>21–50</v>
      </c>
      <c r="N66" s="2" t="s">
        <v>720</v>
      </c>
      <c r="O66" s="2"/>
      <c r="P66" s="2"/>
      <c r="Q66" s="2"/>
      <c r="R66" s="16"/>
      <c r="S66" s="2"/>
      <c r="T66" s="16"/>
      <c r="U66" s="2"/>
      <c r="V66" s="16"/>
      <c r="W66" s="2"/>
      <c r="X66" s="2"/>
      <c r="Y66" s="2" t="s">
        <v>721</v>
      </c>
      <c r="Z66" s="17" t="s">
        <v>543</v>
      </c>
    </row>
    <row r="67" customFormat="false" ht="23.85" hidden="false" customHeight="false" outlineLevel="0" collapsed="false">
      <c r="A67" s="2" t="s">
        <v>722</v>
      </c>
      <c r="B67" s="2" t="s">
        <v>723</v>
      </c>
      <c r="C67" s="2" t="s">
        <v>723</v>
      </c>
      <c r="D67" s="2" t="s">
        <v>211</v>
      </c>
      <c r="E67" s="2" t="s">
        <v>103</v>
      </c>
      <c r="F67" s="2" t="s">
        <v>724</v>
      </c>
      <c r="G67" s="2" t="s">
        <v>71</v>
      </c>
      <c r="H67" s="2" t="s">
        <v>702</v>
      </c>
      <c r="I67" s="2" t="s">
        <v>364</v>
      </c>
      <c r="J67" s="15" t="n">
        <v>127</v>
      </c>
      <c r="K67" s="15" t="n">
        <v>18</v>
      </c>
      <c r="L67" s="2" t="s">
        <v>725</v>
      </c>
      <c r="M67" s="2" t="str">
        <f aca="false">IF(J67="","",IF(J67&lt;=4,"≤4",IF(J67&lt;=10,"5–10",IF(J67&lt;=20,"11–20",IF(J67&lt;=50,"21–50",IF(J67&lt;=250,"51–250","251+"))))))</f>
        <v>51–250</v>
      </c>
      <c r="N67" s="2"/>
      <c r="O67" s="2"/>
      <c r="P67" s="2"/>
      <c r="Q67" s="2"/>
      <c r="R67" s="16"/>
      <c r="S67" s="2"/>
      <c r="T67" s="16"/>
      <c r="U67" s="2"/>
      <c r="V67" s="16"/>
      <c r="W67" s="2"/>
      <c r="X67" s="2"/>
      <c r="Y67" s="2" t="s">
        <v>726</v>
      </c>
      <c r="Z67" s="17" t="s">
        <v>543</v>
      </c>
    </row>
    <row r="68" customFormat="false" ht="23.85" hidden="false" customHeight="false" outlineLevel="0" collapsed="false">
      <c r="A68" s="2" t="s">
        <v>727</v>
      </c>
      <c r="B68" s="2" t="s">
        <v>728</v>
      </c>
      <c r="C68" s="2" t="s">
        <v>728</v>
      </c>
      <c r="D68" s="2" t="s">
        <v>211</v>
      </c>
      <c r="E68" s="2" t="s">
        <v>103</v>
      </c>
      <c r="F68" s="2" t="s">
        <v>729</v>
      </c>
      <c r="G68" s="2" t="s">
        <v>71</v>
      </c>
      <c r="H68" s="2" t="s">
        <v>702</v>
      </c>
      <c r="I68" s="2" t="s">
        <v>336</v>
      </c>
      <c r="J68" s="15" t="n">
        <v>24</v>
      </c>
      <c r="K68" s="15" t="n">
        <v>3</v>
      </c>
      <c r="L68" s="2" t="s">
        <v>730</v>
      </c>
      <c r="M68" s="2" t="str">
        <f aca="false">IF(J68="","",IF(J68&lt;=4,"≤4",IF(J68&lt;=10,"5–10",IF(J68&lt;=20,"11–20",IF(J68&lt;=50,"21–50",IF(J68&lt;=250,"51–250","251+"))))))</f>
        <v>21–50</v>
      </c>
      <c r="N68" s="2"/>
      <c r="O68" s="2"/>
      <c r="P68" s="2"/>
      <c r="Q68" s="2"/>
      <c r="R68" s="16"/>
      <c r="S68" s="2"/>
      <c r="T68" s="16"/>
      <c r="U68" s="2"/>
      <c r="V68" s="16"/>
      <c r="W68" s="2"/>
      <c r="X68" s="2"/>
      <c r="Y68" s="2"/>
      <c r="Z68" s="17" t="s">
        <v>543</v>
      </c>
    </row>
    <row r="69" customFormat="false" ht="23.85" hidden="false" customHeight="false" outlineLevel="0" collapsed="false">
      <c r="A69" s="2" t="s">
        <v>731</v>
      </c>
      <c r="B69" s="2" t="s">
        <v>732</v>
      </c>
      <c r="C69" s="2" t="s">
        <v>732</v>
      </c>
      <c r="D69" s="2" t="s">
        <v>212</v>
      </c>
      <c r="E69" s="2" t="s">
        <v>101</v>
      </c>
      <c r="F69" s="2" t="s">
        <v>733</v>
      </c>
      <c r="G69" s="2" t="s">
        <v>71</v>
      </c>
      <c r="H69" s="2" t="s">
        <v>702</v>
      </c>
      <c r="I69" s="2" t="s">
        <v>336</v>
      </c>
      <c r="J69" s="15" t="n">
        <v>20</v>
      </c>
      <c r="K69" s="15" t="n">
        <v>5</v>
      </c>
      <c r="L69" s="2" t="s">
        <v>734</v>
      </c>
      <c r="M69" s="2" t="str">
        <f aca="false">IF(J69="","",IF(J69&lt;=4,"≤4",IF(J69&lt;=10,"5–10",IF(J69&lt;=20,"11–20",IF(J69&lt;=50,"21–50",IF(J69&lt;=250,"51–250","251+"))))))</f>
        <v>11–20</v>
      </c>
      <c r="N69" s="2" t="s">
        <v>735</v>
      </c>
      <c r="O69" s="2"/>
      <c r="P69" s="2"/>
      <c r="Q69" s="2"/>
      <c r="R69" s="16"/>
      <c r="S69" s="2"/>
      <c r="T69" s="16"/>
      <c r="U69" s="2"/>
      <c r="V69" s="16"/>
      <c r="W69" s="2"/>
      <c r="X69" s="2"/>
      <c r="Y69" s="2"/>
      <c r="Z69" s="17" t="s">
        <v>543</v>
      </c>
    </row>
    <row r="70" customFormat="false" ht="35.05" hidden="false" customHeight="false" outlineLevel="0" collapsed="false">
      <c r="A70" s="2" t="s">
        <v>736</v>
      </c>
      <c r="B70" s="2" t="s">
        <v>737</v>
      </c>
      <c r="C70" s="2" t="s">
        <v>738</v>
      </c>
      <c r="D70" s="2" t="s">
        <v>214</v>
      </c>
      <c r="E70" s="2" t="s">
        <v>103</v>
      </c>
      <c r="F70" s="2" t="s">
        <v>739</v>
      </c>
      <c r="G70" s="2" t="s">
        <v>71</v>
      </c>
      <c r="H70" s="2" t="s">
        <v>740</v>
      </c>
      <c r="I70" s="2" t="s">
        <v>364</v>
      </c>
      <c r="J70" s="15" t="n">
        <v>148</v>
      </c>
      <c r="K70" s="15" t="n">
        <v>7</v>
      </c>
      <c r="L70" s="2" t="s">
        <v>741</v>
      </c>
      <c r="M70" s="2" t="str">
        <f aca="false">IF(J70="","",IF(J70&lt;=4,"≤4",IF(J70&lt;=10,"5–10",IF(J70&lt;=20,"11–20",IF(J70&lt;=50,"21–50",IF(J70&lt;=250,"51–250","251+"))))))</f>
        <v>51–250</v>
      </c>
      <c r="N70" s="2" t="s">
        <v>742</v>
      </c>
      <c r="O70" s="2"/>
      <c r="P70" s="2"/>
      <c r="Q70" s="2" t="s">
        <v>743</v>
      </c>
      <c r="R70" s="16"/>
      <c r="S70" s="2"/>
      <c r="T70" s="16"/>
      <c r="U70" s="2"/>
      <c r="V70" s="16"/>
      <c r="W70" s="2"/>
      <c r="X70" s="2"/>
      <c r="Y70" s="2" t="s">
        <v>744</v>
      </c>
      <c r="Z70" s="17" t="s">
        <v>745</v>
      </c>
    </row>
    <row r="71" customFormat="false" ht="23.85" hidden="false" customHeight="false" outlineLevel="0" collapsed="false">
      <c r="A71" s="2" t="s">
        <v>746</v>
      </c>
      <c r="B71" s="2" t="s">
        <v>747</v>
      </c>
      <c r="C71" s="2" t="s">
        <v>748</v>
      </c>
      <c r="D71" s="2" t="s">
        <v>218</v>
      </c>
      <c r="E71" s="2" t="s">
        <v>99</v>
      </c>
      <c r="F71" s="2" t="s">
        <v>749</v>
      </c>
      <c r="G71" s="2" t="s">
        <v>71</v>
      </c>
      <c r="H71" s="2" t="s">
        <v>750</v>
      </c>
      <c r="I71" s="2" t="s">
        <v>336</v>
      </c>
      <c r="J71" s="15" t="n">
        <v>124</v>
      </c>
      <c r="K71" s="15" t="n">
        <v>123</v>
      </c>
      <c r="L71" s="2" t="s">
        <v>751</v>
      </c>
      <c r="M71" s="2" t="str">
        <f aca="false">IF(J71="","",IF(J71&lt;=4,"≤4",IF(J71&lt;=10,"5–10",IF(J71&lt;=20,"11–20",IF(J71&lt;=50,"21–50",IF(J71&lt;=250,"51–250","251+"))))))</f>
        <v>51–250</v>
      </c>
      <c r="N71" s="2" t="s">
        <v>752</v>
      </c>
      <c r="O71" s="2"/>
      <c r="P71" s="2"/>
      <c r="Q71" s="2"/>
      <c r="R71" s="16"/>
      <c r="S71" s="2"/>
      <c r="T71" s="16"/>
      <c r="U71" s="2"/>
      <c r="V71" s="16"/>
      <c r="W71" s="2" t="s">
        <v>753</v>
      </c>
      <c r="X71" s="2"/>
      <c r="Y71" s="2" t="s">
        <v>754</v>
      </c>
      <c r="Z71" s="17" t="s">
        <v>543</v>
      </c>
    </row>
    <row r="72" customFormat="false" ht="23.85" hidden="false" customHeight="false" outlineLevel="0" collapsed="false">
      <c r="A72" s="2" t="s">
        <v>755</v>
      </c>
      <c r="B72" s="2" t="s">
        <v>756</v>
      </c>
      <c r="C72" s="2" t="s">
        <v>757</v>
      </c>
      <c r="D72" s="2" t="s">
        <v>218</v>
      </c>
      <c r="E72" s="2" t="s">
        <v>99</v>
      </c>
      <c r="F72" s="2" t="s">
        <v>758</v>
      </c>
      <c r="G72" s="2" t="s">
        <v>72</v>
      </c>
      <c r="H72" s="2" t="s">
        <v>759</v>
      </c>
      <c r="I72" s="2" t="s">
        <v>336</v>
      </c>
      <c r="J72" s="15" t="n">
        <v>106</v>
      </c>
      <c r="K72" s="15" t="n">
        <v>106</v>
      </c>
      <c r="L72" s="2" t="s">
        <v>760</v>
      </c>
      <c r="M72" s="2" t="str">
        <f aca="false">IF(J72="","",IF(J72&lt;=4,"≤4",IF(J72&lt;=10,"5–10",IF(J72&lt;=20,"11–20",IF(J72&lt;=50,"21–50",IF(J72&lt;=250,"51–250","251+"))))))</f>
        <v>51–250</v>
      </c>
      <c r="N72" s="2" t="s">
        <v>761</v>
      </c>
      <c r="O72" s="2"/>
      <c r="P72" s="2"/>
      <c r="Q72" s="2"/>
      <c r="R72" s="16"/>
      <c r="S72" s="2"/>
      <c r="T72" s="16"/>
      <c r="U72" s="2"/>
      <c r="V72" s="16"/>
      <c r="W72" s="2" t="s">
        <v>762</v>
      </c>
      <c r="X72" s="2"/>
      <c r="Y72" s="2"/>
      <c r="Z72" s="17" t="s">
        <v>543</v>
      </c>
    </row>
    <row r="73" customFormat="false" ht="23.85" hidden="false" customHeight="false" outlineLevel="0" collapsed="false">
      <c r="A73" s="2" t="s">
        <v>763</v>
      </c>
      <c r="B73" s="2" t="s">
        <v>764</v>
      </c>
      <c r="C73" s="2" t="s">
        <v>765</v>
      </c>
      <c r="D73" s="2" t="s">
        <v>213</v>
      </c>
      <c r="E73" s="2" t="s">
        <v>102</v>
      </c>
      <c r="F73" s="2" t="s">
        <v>766</v>
      </c>
      <c r="G73" s="2" t="s">
        <v>71</v>
      </c>
      <c r="H73" s="2" t="s">
        <v>767</v>
      </c>
      <c r="I73" s="2" t="s">
        <v>336</v>
      </c>
      <c r="J73" s="15" t="n">
        <v>91</v>
      </c>
      <c r="K73" s="15" t="n">
        <v>91</v>
      </c>
      <c r="L73" s="2" t="s">
        <v>768</v>
      </c>
      <c r="M73" s="2" t="str">
        <f aca="false">IF(J73="","",IF(J73&lt;=4,"≤4",IF(J73&lt;=10,"5–10",IF(J73&lt;=20,"11–20",IF(J73&lt;=50,"21–50",IF(J73&lt;=250,"51–250","251+"))))))</f>
        <v>51–250</v>
      </c>
      <c r="N73" s="2" t="s">
        <v>478</v>
      </c>
      <c r="O73" s="2"/>
      <c r="P73" s="2"/>
      <c r="Q73" s="2"/>
      <c r="R73" s="16"/>
      <c r="S73" s="2"/>
      <c r="T73" s="16"/>
      <c r="U73" s="2"/>
      <c r="V73" s="16"/>
      <c r="W73" s="2" t="s">
        <v>769</v>
      </c>
      <c r="X73" s="2"/>
      <c r="Y73" s="2"/>
      <c r="Z73" s="17" t="s">
        <v>543</v>
      </c>
    </row>
    <row r="74" customFormat="false" ht="23.85" hidden="false" customHeight="false" outlineLevel="0" collapsed="false">
      <c r="A74" s="2" t="s">
        <v>770</v>
      </c>
      <c r="B74" s="2" t="s">
        <v>771</v>
      </c>
      <c r="C74" s="2" t="s">
        <v>772</v>
      </c>
      <c r="D74" s="2" t="s">
        <v>211</v>
      </c>
      <c r="E74" s="2" t="s">
        <v>103</v>
      </c>
      <c r="F74" s="2" t="s">
        <v>773</v>
      </c>
      <c r="G74" s="2" t="s">
        <v>71</v>
      </c>
      <c r="H74" s="2" t="s">
        <v>767</v>
      </c>
      <c r="I74" s="2" t="s">
        <v>336</v>
      </c>
      <c r="J74" s="15" t="n">
        <v>62</v>
      </c>
      <c r="K74" s="15" t="n">
        <v>62</v>
      </c>
      <c r="L74" s="2" t="s">
        <v>774</v>
      </c>
      <c r="M74" s="2" t="str">
        <f aca="false">IF(J74="","",IF(J74&lt;=4,"≤4",IF(J74&lt;=10,"5–10",IF(J74&lt;=20,"11–20",IF(J74&lt;=50,"21–50",IF(J74&lt;=250,"51–250","251+"))))))</f>
        <v>51–250</v>
      </c>
      <c r="N74" s="2" t="s">
        <v>775</v>
      </c>
      <c r="O74" s="2"/>
      <c r="P74" s="2"/>
      <c r="Q74" s="2"/>
      <c r="R74" s="16"/>
      <c r="S74" s="2"/>
      <c r="T74" s="16"/>
      <c r="U74" s="2"/>
      <c r="V74" s="16"/>
      <c r="W74" s="2" t="s">
        <v>776</v>
      </c>
      <c r="X74" s="2"/>
      <c r="Y74" s="2"/>
      <c r="Z74" s="17" t="s">
        <v>543</v>
      </c>
    </row>
    <row r="75" customFormat="false" ht="23.85" hidden="false" customHeight="false" outlineLevel="0" collapsed="false">
      <c r="A75" s="2" t="s">
        <v>777</v>
      </c>
      <c r="B75" s="2" t="s">
        <v>778</v>
      </c>
      <c r="C75" s="2" t="s">
        <v>779</v>
      </c>
      <c r="D75" s="2" t="s">
        <v>211</v>
      </c>
      <c r="E75" s="2" t="s">
        <v>103</v>
      </c>
      <c r="F75" s="2" t="s">
        <v>780</v>
      </c>
      <c r="G75" s="2" t="s">
        <v>71</v>
      </c>
      <c r="H75" s="2" t="s">
        <v>767</v>
      </c>
      <c r="I75" s="2" t="s">
        <v>336</v>
      </c>
      <c r="J75" s="15" t="n">
        <v>76</v>
      </c>
      <c r="K75" s="15" t="n">
        <v>75</v>
      </c>
      <c r="L75" s="2" t="s">
        <v>781</v>
      </c>
      <c r="M75" s="2" t="str">
        <f aca="false">IF(J75="","",IF(J75&lt;=4,"≤4",IF(J75&lt;=10,"5–10",IF(J75&lt;=20,"11–20",IF(J75&lt;=50,"21–50",IF(J75&lt;=250,"51–250","251+"))))))</f>
        <v>51–250</v>
      </c>
      <c r="N75" s="2" t="s">
        <v>473</v>
      </c>
      <c r="O75" s="2"/>
      <c r="P75" s="2"/>
      <c r="Q75" s="2"/>
      <c r="R75" s="16"/>
      <c r="S75" s="2"/>
      <c r="T75" s="16"/>
      <c r="U75" s="2"/>
      <c r="V75" s="16"/>
      <c r="W75" s="2" t="s">
        <v>59</v>
      </c>
      <c r="X75" s="2"/>
      <c r="Y75" s="2"/>
      <c r="Z75" s="17" t="s">
        <v>543</v>
      </c>
    </row>
    <row r="76" customFormat="false" ht="23.85" hidden="false" customHeight="false" outlineLevel="0" collapsed="false">
      <c r="A76" s="2" t="s">
        <v>782</v>
      </c>
      <c r="B76" s="2" t="s">
        <v>783</v>
      </c>
      <c r="C76" s="2" t="s">
        <v>784</v>
      </c>
      <c r="D76" s="2" t="s">
        <v>218</v>
      </c>
      <c r="E76" s="2" t="s">
        <v>99</v>
      </c>
      <c r="F76" s="2" t="s">
        <v>785</v>
      </c>
      <c r="G76" s="2" t="s">
        <v>71</v>
      </c>
      <c r="H76" s="2" t="s">
        <v>786</v>
      </c>
      <c r="I76" s="2" t="s">
        <v>336</v>
      </c>
      <c r="J76" s="15" t="n">
        <v>108</v>
      </c>
      <c r="K76" s="15" t="n">
        <v>108</v>
      </c>
      <c r="L76" s="2" t="s">
        <v>787</v>
      </c>
      <c r="M76" s="2" t="str">
        <f aca="false">IF(J76="","",IF(J76&lt;=4,"≤4",IF(J76&lt;=10,"5–10",IF(J76&lt;=20,"11–20",IF(J76&lt;=50,"21–50",IF(J76&lt;=250,"51–250","251+"))))))</f>
        <v>51–250</v>
      </c>
      <c r="N76" s="2" t="s">
        <v>438</v>
      </c>
      <c r="O76" s="2"/>
      <c r="P76" s="2"/>
      <c r="Q76" s="2"/>
      <c r="R76" s="16"/>
      <c r="S76" s="2"/>
      <c r="T76" s="16"/>
      <c r="U76" s="2"/>
      <c r="V76" s="16"/>
      <c r="W76" s="2" t="s">
        <v>788</v>
      </c>
      <c r="X76" s="2"/>
      <c r="Y76" s="2"/>
      <c r="Z76" s="17" t="s">
        <v>543</v>
      </c>
    </row>
    <row r="77" customFormat="false" ht="23.85" hidden="false" customHeight="false" outlineLevel="0" collapsed="false">
      <c r="A77" s="2" t="s">
        <v>789</v>
      </c>
      <c r="B77" s="2" t="s">
        <v>790</v>
      </c>
      <c r="C77" s="2" t="s">
        <v>791</v>
      </c>
      <c r="D77" s="2" t="s">
        <v>196</v>
      </c>
      <c r="E77" s="2" t="s">
        <v>106</v>
      </c>
      <c r="F77" s="2" t="s">
        <v>780</v>
      </c>
      <c r="G77" s="2" t="s">
        <v>71</v>
      </c>
      <c r="H77" s="2" t="s">
        <v>786</v>
      </c>
      <c r="I77" s="2" t="s">
        <v>336</v>
      </c>
      <c r="J77" s="15" t="n">
        <v>35</v>
      </c>
      <c r="K77" s="15" t="n">
        <v>35</v>
      </c>
      <c r="L77" s="2" t="s">
        <v>792</v>
      </c>
      <c r="M77" s="2" t="str">
        <f aca="false">IF(J77="","",IF(J77&lt;=4,"≤4",IF(J77&lt;=10,"5–10",IF(J77&lt;=20,"11–20",IF(J77&lt;=50,"21–50",IF(J77&lt;=250,"51–250","251+"))))))</f>
        <v>21–50</v>
      </c>
      <c r="N77" s="2" t="s">
        <v>603</v>
      </c>
      <c r="O77" s="2"/>
      <c r="P77" s="2"/>
      <c r="Q77" s="2"/>
      <c r="R77" s="16"/>
      <c r="S77" s="2"/>
      <c r="T77" s="16"/>
      <c r="U77" s="2"/>
      <c r="V77" s="16"/>
      <c r="W77" s="2" t="s">
        <v>793</v>
      </c>
      <c r="X77" s="2"/>
      <c r="Y77" s="2"/>
      <c r="Z77" s="17" t="s">
        <v>543</v>
      </c>
    </row>
    <row r="78" customFormat="false" ht="23.85" hidden="false" customHeight="false" outlineLevel="0" collapsed="false">
      <c r="A78" s="2" t="s">
        <v>794</v>
      </c>
      <c r="B78" s="2" t="s">
        <v>795</v>
      </c>
      <c r="C78" s="2" t="s">
        <v>796</v>
      </c>
      <c r="D78" s="2" t="s">
        <v>213</v>
      </c>
      <c r="E78" s="2" t="s">
        <v>100</v>
      </c>
      <c r="F78" s="2" t="s">
        <v>785</v>
      </c>
      <c r="G78" s="2" t="s">
        <v>71</v>
      </c>
      <c r="H78" s="2" t="s">
        <v>759</v>
      </c>
      <c r="I78" s="2" t="s">
        <v>336</v>
      </c>
      <c r="J78" s="15" t="n">
        <v>63</v>
      </c>
      <c r="K78" s="15" t="n">
        <v>63</v>
      </c>
      <c r="L78" s="2" t="s">
        <v>797</v>
      </c>
      <c r="M78" s="2" t="str">
        <f aca="false">IF(J78="","",IF(J78&lt;=4,"≤4",IF(J78&lt;=10,"5–10",IF(J78&lt;=20,"11–20",IF(J78&lt;=50,"21–50",IF(J78&lt;=250,"51–250","251+"))))))</f>
        <v>51–250</v>
      </c>
      <c r="N78" s="2" t="s">
        <v>752</v>
      </c>
      <c r="O78" s="2"/>
      <c r="P78" s="2"/>
      <c r="Q78" s="2"/>
      <c r="R78" s="16"/>
      <c r="S78" s="2"/>
      <c r="T78" s="16"/>
      <c r="U78" s="2"/>
      <c r="V78" s="16"/>
      <c r="W78" s="2" t="s">
        <v>617</v>
      </c>
      <c r="X78" s="2"/>
      <c r="Y78" s="2"/>
      <c r="Z78" s="17" t="s">
        <v>543</v>
      </c>
    </row>
    <row r="79" customFormat="false" ht="23.85" hidden="false" customHeight="false" outlineLevel="0" collapsed="false">
      <c r="A79" s="2" t="s">
        <v>798</v>
      </c>
      <c r="B79" s="2" t="s">
        <v>799</v>
      </c>
      <c r="C79" s="2" t="s">
        <v>800</v>
      </c>
      <c r="D79" s="2" t="s">
        <v>213</v>
      </c>
      <c r="E79" s="2" t="s">
        <v>102</v>
      </c>
      <c r="F79" s="2" t="s">
        <v>780</v>
      </c>
      <c r="G79" s="2" t="s">
        <v>71</v>
      </c>
      <c r="H79" s="2" t="s">
        <v>801</v>
      </c>
      <c r="I79" s="2" t="s">
        <v>336</v>
      </c>
      <c r="J79" s="15" t="n">
        <v>47</v>
      </c>
      <c r="K79" s="15" t="n">
        <v>46</v>
      </c>
      <c r="L79" s="2" t="s">
        <v>802</v>
      </c>
      <c r="M79" s="2" t="str">
        <f aca="false">IF(J79="","",IF(J79&lt;=4,"≤4",IF(J79&lt;=10,"5–10",IF(J79&lt;=20,"11–20",IF(J79&lt;=50,"21–50",IF(J79&lt;=250,"51–250","251+"))))))</f>
        <v>21–50</v>
      </c>
      <c r="N79" s="2" t="s">
        <v>438</v>
      </c>
      <c r="O79" s="2"/>
      <c r="P79" s="2"/>
      <c r="Q79" s="2"/>
      <c r="R79" s="16"/>
      <c r="S79" s="2"/>
      <c r="T79" s="16"/>
      <c r="U79" s="2"/>
      <c r="V79" s="16"/>
      <c r="W79" s="2" t="s">
        <v>793</v>
      </c>
      <c r="X79" s="2"/>
      <c r="Y79" s="2"/>
      <c r="Z79" s="17" t="s">
        <v>543</v>
      </c>
    </row>
    <row r="80" customFormat="false" ht="23.85" hidden="false" customHeight="false" outlineLevel="0" collapsed="false">
      <c r="A80" s="2" t="s">
        <v>803</v>
      </c>
      <c r="B80" s="2" t="s">
        <v>804</v>
      </c>
      <c r="C80" s="2" t="s">
        <v>805</v>
      </c>
      <c r="D80" s="2" t="s">
        <v>211</v>
      </c>
      <c r="E80" s="2" t="s">
        <v>103</v>
      </c>
      <c r="F80" s="2" t="s">
        <v>806</v>
      </c>
      <c r="G80" s="2" t="s">
        <v>72</v>
      </c>
      <c r="H80" s="2" t="s">
        <v>767</v>
      </c>
      <c r="I80" s="2" t="s">
        <v>336</v>
      </c>
      <c r="J80" s="15" t="n">
        <v>75</v>
      </c>
      <c r="K80" s="15" t="n">
        <v>74</v>
      </c>
      <c r="L80" s="2" t="s">
        <v>807</v>
      </c>
      <c r="M80" s="2" t="str">
        <f aca="false">IF(J80="","",IF(J80&lt;=4,"≤4",IF(J80&lt;=10,"5–10",IF(J80&lt;=20,"11–20",IF(J80&lt;=50,"21–50",IF(J80&lt;=250,"51–250","251+"))))))</f>
        <v>51–250</v>
      </c>
      <c r="N80" s="2" t="s">
        <v>473</v>
      </c>
      <c r="O80" s="2"/>
      <c r="P80" s="2"/>
      <c r="Q80" s="2"/>
      <c r="R80" s="16"/>
      <c r="S80" s="2"/>
      <c r="T80" s="16"/>
      <c r="U80" s="2"/>
      <c r="V80" s="16"/>
      <c r="W80" s="2" t="s">
        <v>808</v>
      </c>
      <c r="X80" s="2"/>
      <c r="Y80" s="2"/>
      <c r="Z80" s="17" t="s">
        <v>543</v>
      </c>
    </row>
    <row r="81" customFormat="false" ht="23.85" hidden="false" customHeight="false" outlineLevel="0" collapsed="false">
      <c r="A81" s="2" t="s">
        <v>809</v>
      </c>
      <c r="B81" s="2" t="s">
        <v>810</v>
      </c>
      <c r="C81" s="2" t="s">
        <v>811</v>
      </c>
      <c r="D81" s="2" t="s">
        <v>198</v>
      </c>
      <c r="E81" s="2" t="s">
        <v>100</v>
      </c>
      <c r="F81" s="2" t="s">
        <v>780</v>
      </c>
      <c r="G81" s="2" t="s">
        <v>71</v>
      </c>
      <c r="H81" s="2" t="s">
        <v>812</v>
      </c>
      <c r="I81" s="2" t="s">
        <v>336</v>
      </c>
      <c r="J81" s="15" t="n">
        <v>68</v>
      </c>
      <c r="K81" s="15" t="n">
        <v>62</v>
      </c>
      <c r="L81" s="2" t="s">
        <v>813</v>
      </c>
      <c r="M81" s="2" t="str">
        <f aca="false">IF(J81="","",IF(J81&lt;=4,"≤4",IF(J81&lt;=10,"5–10",IF(J81&lt;=20,"11–20",IF(J81&lt;=50,"21–50",IF(J81&lt;=250,"51–250","251+"))))))</f>
        <v>51–250</v>
      </c>
      <c r="N81" s="2" t="s">
        <v>478</v>
      </c>
      <c r="O81" s="2"/>
      <c r="P81" s="2"/>
      <c r="Q81" s="2"/>
      <c r="R81" s="16"/>
      <c r="S81" s="2"/>
      <c r="T81" s="16"/>
      <c r="U81" s="2"/>
      <c r="V81" s="16"/>
      <c r="W81" s="2" t="s">
        <v>630</v>
      </c>
      <c r="X81" s="2"/>
      <c r="Y81" s="2"/>
      <c r="Z81" s="17" t="s">
        <v>543</v>
      </c>
    </row>
    <row r="82" customFormat="false" ht="23.85" hidden="false" customHeight="false" outlineLevel="0" collapsed="false">
      <c r="A82" s="2" t="s">
        <v>814</v>
      </c>
      <c r="B82" s="2" t="s">
        <v>815</v>
      </c>
      <c r="C82" s="2" t="s">
        <v>816</v>
      </c>
      <c r="D82" s="2" t="s">
        <v>196</v>
      </c>
      <c r="E82" s="2" t="s">
        <v>106</v>
      </c>
      <c r="F82" s="2" t="s">
        <v>817</v>
      </c>
      <c r="G82" s="2" t="s">
        <v>72</v>
      </c>
      <c r="H82" s="2" t="s">
        <v>818</v>
      </c>
      <c r="I82" s="2" t="s">
        <v>336</v>
      </c>
      <c r="J82" s="15" t="n">
        <v>36</v>
      </c>
      <c r="K82" s="15" t="n">
        <v>36</v>
      </c>
      <c r="L82" s="2" t="s">
        <v>792</v>
      </c>
      <c r="M82" s="2" t="str">
        <f aca="false">IF(J82="","",IF(J82&lt;=4,"≤4",IF(J82&lt;=10,"5–10",IF(J82&lt;=20,"11–20",IF(J82&lt;=50,"21–50",IF(J82&lt;=250,"51–250","251+"))))))</f>
        <v>21–50</v>
      </c>
      <c r="N82" s="2" t="s">
        <v>819</v>
      </c>
      <c r="O82" s="2"/>
      <c r="P82" s="2"/>
      <c r="Q82" s="2"/>
      <c r="R82" s="16"/>
      <c r="S82" s="2"/>
      <c r="T82" s="16"/>
      <c r="U82" s="2"/>
      <c r="V82" s="16"/>
      <c r="W82" s="2" t="s">
        <v>820</v>
      </c>
      <c r="X82" s="2"/>
      <c r="Y82" s="2" t="s">
        <v>821</v>
      </c>
      <c r="Z82" s="17" t="s">
        <v>543</v>
      </c>
    </row>
    <row r="83" customFormat="false" ht="23.85" hidden="false" customHeight="false" outlineLevel="0" collapsed="false">
      <c r="A83" s="2" t="s">
        <v>822</v>
      </c>
      <c r="B83" s="2" t="s">
        <v>823</v>
      </c>
      <c r="C83" s="2" t="s">
        <v>824</v>
      </c>
      <c r="D83" s="2" t="s">
        <v>196</v>
      </c>
      <c r="E83" s="2" t="s">
        <v>105</v>
      </c>
      <c r="F83" s="2" t="s">
        <v>825</v>
      </c>
      <c r="G83" s="2" t="s">
        <v>72</v>
      </c>
      <c r="H83" s="2" t="s">
        <v>826</v>
      </c>
      <c r="I83" s="2" t="s">
        <v>336</v>
      </c>
      <c r="J83" s="15" t="n">
        <v>187</v>
      </c>
      <c r="K83" s="15" t="n">
        <v>185</v>
      </c>
      <c r="L83" s="2" t="s">
        <v>827</v>
      </c>
      <c r="M83" s="2" t="str">
        <f aca="false">IF(J83="","",IF(J83&lt;=4,"≤4",IF(J83&lt;=10,"5–10",IF(J83&lt;=20,"11–20",IF(J83&lt;=50,"21–50",IF(J83&lt;=250,"51–250","251+"))))))</f>
        <v>51–250</v>
      </c>
      <c r="N83" s="2" t="s">
        <v>473</v>
      </c>
      <c r="O83" s="2" t="s">
        <v>828</v>
      </c>
      <c r="P83" s="2"/>
      <c r="Q83" s="2"/>
      <c r="R83" s="16"/>
      <c r="S83" s="2"/>
      <c r="T83" s="16"/>
      <c r="U83" s="2"/>
      <c r="V83" s="16"/>
      <c r="W83" s="2" t="s">
        <v>829</v>
      </c>
      <c r="X83" s="2"/>
      <c r="Y83" s="2" t="s">
        <v>830</v>
      </c>
      <c r="Z83" s="17" t="s">
        <v>543</v>
      </c>
    </row>
    <row r="84" customFormat="false" ht="23.85" hidden="false" customHeight="false" outlineLevel="0" collapsed="false">
      <c r="A84" s="2" t="s">
        <v>831</v>
      </c>
      <c r="B84" s="2" t="s">
        <v>832</v>
      </c>
      <c r="C84" s="2" t="s">
        <v>833</v>
      </c>
      <c r="D84" s="2" t="s">
        <v>187</v>
      </c>
      <c r="E84" s="2" t="s">
        <v>103</v>
      </c>
      <c r="F84" s="2" t="s">
        <v>834</v>
      </c>
      <c r="G84" s="2" t="s">
        <v>72</v>
      </c>
      <c r="H84" s="2" t="s">
        <v>835</v>
      </c>
      <c r="I84" s="2" t="s">
        <v>336</v>
      </c>
      <c r="J84" s="15" t="n">
        <v>101</v>
      </c>
      <c r="K84" s="15" t="n">
        <v>101</v>
      </c>
      <c r="L84" s="2" t="s">
        <v>836</v>
      </c>
      <c r="M84" s="2" t="str">
        <f aca="false">IF(J84="","",IF(J84&lt;=4,"≤4",IF(J84&lt;=10,"5–10",IF(J84&lt;=20,"11–20",IF(J84&lt;=50,"21–50",IF(J84&lt;=250,"51–250","251+"))))))</f>
        <v>51–250</v>
      </c>
      <c r="N84" s="2" t="s">
        <v>473</v>
      </c>
      <c r="O84" s="2" t="s">
        <v>837</v>
      </c>
      <c r="P84" s="2"/>
      <c r="Q84" s="2"/>
      <c r="R84" s="16"/>
      <c r="S84" s="2"/>
      <c r="T84" s="16"/>
      <c r="U84" s="2"/>
      <c r="V84" s="16"/>
      <c r="W84" s="2" t="s">
        <v>838</v>
      </c>
      <c r="X84" s="2"/>
      <c r="Y84" s="2" t="s">
        <v>839</v>
      </c>
      <c r="Z84" s="17" t="s">
        <v>543</v>
      </c>
    </row>
    <row r="85" customFormat="false" ht="35.05" hidden="false" customHeight="false" outlineLevel="0" collapsed="false">
      <c r="A85" s="2" t="s">
        <v>840</v>
      </c>
      <c r="B85" s="2" t="s">
        <v>841</v>
      </c>
      <c r="C85" s="2" t="s">
        <v>841</v>
      </c>
      <c r="D85" s="2" t="s">
        <v>213</v>
      </c>
      <c r="E85" s="2" t="s">
        <v>103</v>
      </c>
      <c r="F85" s="2" t="s">
        <v>842</v>
      </c>
      <c r="G85" s="2" t="s">
        <v>72</v>
      </c>
      <c r="H85" s="2" t="s">
        <v>843</v>
      </c>
      <c r="I85" s="2" t="s">
        <v>364</v>
      </c>
      <c r="J85" s="15" t="n">
        <v>333</v>
      </c>
      <c r="K85" s="15" t="n">
        <v>83</v>
      </c>
      <c r="L85" s="2" t="s">
        <v>844</v>
      </c>
      <c r="M85" s="2" t="str">
        <f aca="false">IF(J85="","",IF(J85&lt;=4,"≤4",IF(J85&lt;=10,"5–10",IF(J85&lt;=20,"11–20",IF(J85&lt;=50,"21–50",IF(J85&lt;=250,"51–250","251+"))))))</f>
        <v>251+</v>
      </c>
      <c r="N85" s="2" t="s">
        <v>845</v>
      </c>
      <c r="O85" s="2"/>
      <c r="P85" s="2"/>
      <c r="Q85" s="2"/>
      <c r="R85" s="16"/>
      <c r="S85" s="2"/>
      <c r="T85" s="16"/>
      <c r="U85" s="2"/>
      <c r="V85" s="16"/>
      <c r="W85" s="2"/>
      <c r="X85" s="2"/>
      <c r="Y85" s="2" t="s">
        <v>846</v>
      </c>
      <c r="Z85" s="17" t="s">
        <v>543</v>
      </c>
    </row>
    <row r="86" customFormat="false" ht="15" hidden="false" customHeight="false" outlineLevel="0" collapsed="false">
      <c r="A86" s="2" t="s">
        <v>847</v>
      </c>
      <c r="B86" s="2" t="s">
        <v>848</v>
      </c>
      <c r="C86" s="2" t="s">
        <v>848</v>
      </c>
      <c r="D86" s="2" t="s">
        <v>180</v>
      </c>
      <c r="E86" s="2" t="s">
        <v>105</v>
      </c>
      <c r="F86" s="2" t="s">
        <v>849</v>
      </c>
      <c r="G86" s="2" t="s">
        <v>72</v>
      </c>
      <c r="H86" s="2" t="s">
        <v>702</v>
      </c>
      <c r="I86" s="2" t="s">
        <v>364</v>
      </c>
      <c r="J86" s="15" t="n">
        <v>20</v>
      </c>
      <c r="K86" s="15" t="n">
        <v>2</v>
      </c>
      <c r="L86" s="2" t="s">
        <v>850</v>
      </c>
      <c r="M86" s="2" t="str">
        <f aca="false">IF(J86="","",IF(J86&lt;=4,"≤4",IF(J86&lt;=10,"5–10",IF(J86&lt;=20,"11–20",IF(J86&lt;=50,"21–50",IF(J86&lt;=250,"51–250","251+"))))))</f>
        <v>11–20</v>
      </c>
      <c r="N86" s="2"/>
      <c r="O86" s="2"/>
      <c r="P86" s="2"/>
      <c r="Q86" s="2"/>
      <c r="R86" s="16"/>
      <c r="S86" s="2"/>
      <c r="T86" s="16"/>
      <c r="U86" s="2"/>
      <c r="V86" s="16"/>
      <c r="W86" s="2"/>
      <c r="X86" s="2"/>
      <c r="Y86" s="2" t="s">
        <v>851</v>
      </c>
      <c r="Z86" s="17" t="s">
        <v>543</v>
      </c>
    </row>
    <row r="87" customFormat="false" ht="15" hidden="false" customHeight="false" outlineLevel="0" collapsed="false">
      <c r="A87" s="2" t="s">
        <v>852</v>
      </c>
      <c r="B87" s="2" t="s">
        <v>853</v>
      </c>
      <c r="C87" s="2" t="s">
        <v>853</v>
      </c>
      <c r="D87" s="2" t="s">
        <v>180</v>
      </c>
      <c r="E87" s="2" t="s">
        <v>105</v>
      </c>
      <c r="F87" s="2" t="s">
        <v>854</v>
      </c>
      <c r="G87" s="2" t="s">
        <v>72</v>
      </c>
      <c r="H87" s="2" t="s">
        <v>702</v>
      </c>
      <c r="I87" s="2" t="s">
        <v>364</v>
      </c>
      <c r="J87" s="15" t="n">
        <v>29</v>
      </c>
      <c r="K87" s="15" t="n">
        <v>4</v>
      </c>
      <c r="L87" s="2" t="s">
        <v>855</v>
      </c>
      <c r="M87" s="2" t="str">
        <f aca="false">IF(J87="","",IF(J87&lt;=4,"≤4",IF(J87&lt;=10,"5–10",IF(J87&lt;=20,"11–20",IF(J87&lt;=50,"21–50",IF(J87&lt;=250,"51–250","251+"))))))</f>
        <v>21–50</v>
      </c>
      <c r="N87" s="2" t="s">
        <v>856</v>
      </c>
      <c r="O87" s="2"/>
      <c r="P87" s="2"/>
      <c r="Q87" s="2"/>
      <c r="R87" s="16"/>
      <c r="S87" s="2"/>
      <c r="T87" s="16"/>
      <c r="U87" s="2"/>
      <c r="V87" s="16"/>
      <c r="W87" s="2"/>
      <c r="X87" s="2"/>
      <c r="Y87" s="2" t="s">
        <v>857</v>
      </c>
      <c r="Z87" s="17" t="s">
        <v>543</v>
      </c>
    </row>
    <row r="88" customFormat="false" ht="23.85" hidden="false" customHeight="false" outlineLevel="0" collapsed="false">
      <c r="A88" s="2" t="s">
        <v>858</v>
      </c>
      <c r="B88" s="2" t="s">
        <v>859</v>
      </c>
      <c r="C88" s="2" t="s">
        <v>859</v>
      </c>
      <c r="D88" s="2" t="s">
        <v>196</v>
      </c>
      <c r="E88" s="2" t="s">
        <v>105</v>
      </c>
      <c r="F88" s="2" t="s">
        <v>860</v>
      </c>
      <c r="G88" s="2" t="s">
        <v>72</v>
      </c>
      <c r="H88" s="2" t="s">
        <v>702</v>
      </c>
      <c r="I88" s="2" t="s">
        <v>364</v>
      </c>
      <c r="J88" s="15" t="n">
        <v>96</v>
      </c>
      <c r="K88" s="15" t="n">
        <v>14</v>
      </c>
      <c r="L88" s="2" t="s">
        <v>861</v>
      </c>
      <c r="M88" s="2" t="str">
        <f aca="false">IF(J88="","",IF(J88&lt;=4,"≤4",IF(J88&lt;=10,"5–10",IF(J88&lt;=20,"11–20",IF(J88&lt;=50,"21–50",IF(J88&lt;=250,"51–250","251+"))))))</f>
        <v>51–250</v>
      </c>
      <c r="N88" s="2" t="s">
        <v>862</v>
      </c>
      <c r="O88" s="2"/>
      <c r="P88" s="2"/>
      <c r="Q88" s="2"/>
      <c r="R88" s="16"/>
      <c r="S88" s="2"/>
      <c r="T88" s="16"/>
      <c r="U88" s="2"/>
      <c r="V88" s="16"/>
      <c r="W88" s="2"/>
      <c r="X88" s="2"/>
      <c r="Y88" s="2" t="s">
        <v>863</v>
      </c>
      <c r="Z88" s="17" t="s">
        <v>543</v>
      </c>
    </row>
    <row r="89" customFormat="false" ht="23.85" hidden="false" customHeight="false" outlineLevel="0" collapsed="false">
      <c r="A89" s="2" t="s">
        <v>864</v>
      </c>
      <c r="B89" s="2" t="s">
        <v>865</v>
      </c>
      <c r="C89" s="2" t="s">
        <v>866</v>
      </c>
      <c r="D89" s="2" t="s">
        <v>213</v>
      </c>
      <c r="E89" s="2" t="s">
        <v>102</v>
      </c>
      <c r="F89" s="2" t="s">
        <v>867</v>
      </c>
      <c r="G89" s="2" t="s">
        <v>72</v>
      </c>
      <c r="H89" s="2" t="s">
        <v>702</v>
      </c>
      <c r="I89" s="2" t="s">
        <v>336</v>
      </c>
      <c r="J89" s="15" t="n">
        <v>261</v>
      </c>
      <c r="K89" s="15" t="n">
        <v>32</v>
      </c>
      <c r="L89" s="2" t="s">
        <v>868</v>
      </c>
      <c r="M89" s="2" t="str">
        <f aca="false">IF(J89="","",IF(J89&lt;=4,"≤4",IF(J89&lt;=10,"5–10",IF(J89&lt;=20,"11–20",IF(J89&lt;=50,"21–50",IF(J89&lt;=250,"51–250","251+"))))))</f>
        <v>251+</v>
      </c>
      <c r="N89" s="2" t="s">
        <v>869</v>
      </c>
      <c r="O89" s="2"/>
      <c r="P89" s="2"/>
      <c r="Q89" s="2"/>
      <c r="R89" s="16"/>
      <c r="S89" s="2"/>
      <c r="T89" s="16"/>
      <c r="U89" s="2"/>
      <c r="V89" s="16"/>
      <c r="W89" s="2"/>
      <c r="X89" s="2"/>
      <c r="Y89" s="2" t="s">
        <v>870</v>
      </c>
      <c r="Z89" s="17" t="s">
        <v>543</v>
      </c>
    </row>
    <row r="90" customFormat="false" ht="15" hidden="false" customHeight="false" outlineLevel="0" collapsed="false">
      <c r="A90" s="2" t="s">
        <v>871</v>
      </c>
      <c r="B90" s="2" t="s">
        <v>872</v>
      </c>
      <c r="C90" s="2" t="s">
        <v>872</v>
      </c>
      <c r="D90" s="2" t="s">
        <v>213</v>
      </c>
      <c r="E90" s="2" t="s">
        <v>102</v>
      </c>
      <c r="F90" s="2" t="s">
        <v>873</v>
      </c>
      <c r="G90" s="2" t="s">
        <v>72</v>
      </c>
      <c r="H90" s="2" t="s">
        <v>702</v>
      </c>
      <c r="I90" s="2" t="s">
        <v>336</v>
      </c>
      <c r="J90" s="15" t="n">
        <v>168</v>
      </c>
      <c r="K90" s="15" t="n">
        <v>24</v>
      </c>
      <c r="L90" s="2" t="s">
        <v>874</v>
      </c>
      <c r="M90" s="2" t="str">
        <f aca="false">IF(J90="","",IF(J90&lt;=4,"≤4",IF(J90&lt;=10,"5–10",IF(J90&lt;=20,"11–20",IF(J90&lt;=50,"21–50",IF(J90&lt;=250,"51–250","251+"))))))</f>
        <v>51–250</v>
      </c>
      <c r="N90" s="2"/>
      <c r="O90" s="2"/>
      <c r="P90" s="2"/>
      <c r="Q90" s="2"/>
      <c r="R90" s="16"/>
      <c r="S90" s="2"/>
      <c r="T90" s="16"/>
      <c r="U90" s="2"/>
      <c r="V90" s="16"/>
      <c r="W90" s="2"/>
      <c r="X90" s="2"/>
      <c r="Y90" s="2"/>
      <c r="Z90" s="17" t="s">
        <v>543</v>
      </c>
    </row>
    <row r="91" customFormat="false" ht="15" hidden="false" customHeight="false" outlineLevel="0" collapsed="false">
      <c r="A91" s="2" t="s">
        <v>875</v>
      </c>
      <c r="B91" s="2" t="s">
        <v>876</v>
      </c>
      <c r="C91" s="2" t="s">
        <v>876</v>
      </c>
      <c r="D91" s="2" t="s">
        <v>211</v>
      </c>
      <c r="E91" s="2" t="s">
        <v>103</v>
      </c>
      <c r="F91" s="2" t="s">
        <v>877</v>
      </c>
      <c r="G91" s="2" t="s">
        <v>72</v>
      </c>
      <c r="H91" s="2" t="s">
        <v>702</v>
      </c>
      <c r="I91" s="2" t="s">
        <v>336</v>
      </c>
      <c r="J91" s="15" t="n">
        <v>299</v>
      </c>
      <c r="K91" s="15" t="n">
        <v>64</v>
      </c>
      <c r="L91" s="2" t="s">
        <v>878</v>
      </c>
      <c r="M91" s="2" t="str">
        <f aca="false">IF(J91="","",IF(J91&lt;=4,"≤4",IF(J91&lt;=10,"5–10",IF(J91&lt;=20,"11–20",IF(J91&lt;=50,"21–50",IF(J91&lt;=250,"51–250","251+"))))))</f>
        <v>251+</v>
      </c>
      <c r="N91" s="2" t="s">
        <v>879</v>
      </c>
      <c r="O91" s="2"/>
      <c r="P91" s="2"/>
      <c r="Q91" s="2"/>
      <c r="R91" s="16"/>
      <c r="S91" s="2"/>
      <c r="T91" s="16"/>
      <c r="U91" s="2"/>
      <c r="V91" s="16"/>
      <c r="W91" s="2"/>
      <c r="X91" s="2"/>
      <c r="Y91" s="2"/>
      <c r="Z91" s="17" t="s">
        <v>543</v>
      </c>
    </row>
    <row r="92" customFormat="false" ht="15" hidden="false" customHeight="false" outlineLevel="0" collapsed="false">
      <c r="A92" s="2" t="s">
        <v>880</v>
      </c>
      <c r="B92" s="2" t="s">
        <v>881</v>
      </c>
      <c r="C92" s="2" t="s">
        <v>882</v>
      </c>
      <c r="D92" s="2" t="s">
        <v>883</v>
      </c>
      <c r="E92" s="2" t="s">
        <v>107</v>
      </c>
      <c r="F92" s="2" t="s">
        <v>849</v>
      </c>
      <c r="G92" s="2" t="s">
        <v>72</v>
      </c>
      <c r="H92" s="2" t="s">
        <v>702</v>
      </c>
      <c r="I92" s="2" t="s">
        <v>336</v>
      </c>
      <c r="J92" s="15" t="n">
        <v>260</v>
      </c>
      <c r="K92" s="15" t="n">
        <v>42</v>
      </c>
      <c r="L92" s="2" t="s">
        <v>884</v>
      </c>
      <c r="M92" s="2" t="str">
        <f aca="false">IF(J92="","",IF(J92&lt;=4,"≤4",IF(J92&lt;=10,"5–10",IF(J92&lt;=20,"11–20",IF(J92&lt;=50,"21–50",IF(J92&lt;=250,"51–250","251+"))))))</f>
        <v>251+</v>
      </c>
      <c r="N92" s="2" t="s">
        <v>885</v>
      </c>
      <c r="O92" s="2"/>
      <c r="P92" s="2"/>
      <c r="Q92" s="2"/>
      <c r="R92" s="16"/>
      <c r="S92" s="2"/>
      <c r="T92" s="16"/>
      <c r="U92" s="2"/>
      <c r="V92" s="16"/>
      <c r="W92" s="2"/>
      <c r="X92" s="2"/>
      <c r="Y92" s="2"/>
      <c r="Z92" s="17" t="s">
        <v>543</v>
      </c>
    </row>
    <row r="93" customFormat="false" ht="15" hidden="false" customHeight="false" outlineLevel="0" collapsed="false">
      <c r="A93" s="2" t="s">
        <v>886</v>
      </c>
      <c r="B93" s="2" t="s">
        <v>887</v>
      </c>
      <c r="C93" s="2" t="s">
        <v>887</v>
      </c>
      <c r="D93" s="2" t="s">
        <v>187</v>
      </c>
      <c r="E93" s="2" t="s">
        <v>103</v>
      </c>
      <c r="F93" s="2" t="s">
        <v>873</v>
      </c>
      <c r="G93" s="2" t="s">
        <v>72</v>
      </c>
      <c r="H93" s="2" t="s">
        <v>702</v>
      </c>
      <c r="I93" s="2" t="s">
        <v>336</v>
      </c>
      <c r="J93" s="15" t="n">
        <v>100</v>
      </c>
      <c r="K93" s="15" t="n">
        <v>12</v>
      </c>
      <c r="L93" s="2" t="s">
        <v>888</v>
      </c>
      <c r="M93" s="2" t="str">
        <f aca="false">IF(J93="","",IF(J93&lt;=4,"≤4",IF(J93&lt;=10,"5–10",IF(J93&lt;=20,"11–20",IF(J93&lt;=50,"21–50",IF(J93&lt;=250,"51–250","251+"))))))</f>
        <v>51–250</v>
      </c>
      <c r="N93" s="2"/>
      <c r="O93" s="2"/>
      <c r="P93" s="2"/>
      <c r="Q93" s="2"/>
      <c r="R93" s="16"/>
      <c r="S93" s="2"/>
      <c r="T93" s="16"/>
      <c r="U93" s="2"/>
      <c r="V93" s="16"/>
      <c r="W93" s="2"/>
      <c r="X93" s="2"/>
      <c r="Y93" s="2"/>
      <c r="Z93" s="17" t="s">
        <v>543</v>
      </c>
    </row>
    <row r="94" customFormat="false" ht="15" hidden="false" customHeight="false" outlineLevel="0" collapsed="false">
      <c r="A94" s="2" t="s">
        <v>889</v>
      </c>
      <c r="B94" s="2" t="s">
        <v>890</v>
      </c>
      <c r="C94" s="2" t="s">
        <v>890</v>
      </c>
      <c r="D94" s="2" t="s">
        <v>198</v>
      </c>
      <c r="E94" s="2" t="s">
        <v>100</v>
      </c>
      <c r="F94" s="2" t="s">
        <v>891</v>
      </c>
      <c r="G94" s="2" t="s">
        <v>72</v>
      </c>
      <c r="H94" s="2" t="s">
        <v>702</v>
      </c>
      <c r="I94" s="2" t="s">
        <v>336</v>
      </c>
      <c r="J94" s="15" t="n">
        <v>100</v>
      </c>
      <c r="K94" s="15" t="n">
        <v>9</v>
      </c>
      <c r="L94" s="2" t="s">
        <v>892</v>
      </c>
      <c r="M94" s="2" t="str">
        <f aca="false">IF(J94="","",IF(J94&lt;=4,"≤4",IF(J94&lt;=10,"5–10",IF(J94&lt;=20,"11–20",IF(J94&lt;=50,"21–50",IF(J94&lt;=250,"51–250","251+"))))))</f>
        <v>51–250</v>
      </c>
      <c r="N94" s="2"/>
      <c r="O94" s="2"/>
      <c r="P94" s="2"/>
      <c r="Q94" s="2"/>
      <c r="R94" s="16"/>
      <c r="S94" s="2"/>
      <c r="T94" s="16"/>
      <c r="U94" s="2"/>
      <c r="V94" s="16"/>
      <c r="W94" s="2"/>
      <c r="X94" s="2"/>
      <c r="Y94" s="2"/>
      <c r="Z94" s="17" t="s">
        <v>543</v>
      </c>
    </row>
    <row r="95" customFormat="false" ht="15" hidden="false" customHeight="false" outlineLevel="0" collapsed="false">
      <c r="A95" s="2" t="s">
        <v>893</v>
      </c>
      <c r="B95" s="2" t="s">
        <v>894</v>
      </c>
      <c r="C95" s="2" t="s">
        <v>894</v>
      </c>
      <c r="D95" s="2" t="s">
        <v>211</v>
      </c>
      <c r="E95" s="2" t="s">
        <v>103</v>
      </c>
      <c r="F95" s="2" t="s">
        <v>895</v>
      </c>
      <c r="G95" s="2" t="s">
        <v>72</v>
      </c>
      <c r="H95" s="2" t="s">
        <v>702</v>
      </c>
      <c r="I95" s="2" t="s">
        <v>336</v>
      </c>
      <c r="J95" s="15" t="n">
        <v>95</v>
      </c>
      <c r="K95" s="15" t="n">
        <v>13</v>
      </c>
      <c r="L95" s="2" t="s">
        <v>896</v>
      </c>
      <c r="M95" s="2" t="str">
        <f aca="false">IF(J95="","",IF(J95&lt;=4,"≤4",IF(J95&lt;=10,"5–10",IF(J95&lt;=20,"11–20",IF(J95&lt;=50,"21–50",IF(J95&lt;=250,"51–250","251+"))))))</f>
        <v>51–250</v>
      </c>
      <c r="N95" s="2"/>
      <c r="O95" s="2"/>
      <c r="P95" s="2"/>
      <c r="Q95" s="2"/>
      <c r="R95" s="16"/>
      <c r="S95" s="2"/>
      <c r="T95" s="16"/>
      <c r="U95" s="2"/>
      <c r="V95" s="16"/>
      <c r="W95" s="2"/>
      <c r="X95" s="2"/>
      <c r="Y95" s="2"/>
      <c r="Z95" s="17" t="s">
        <v>543</v>
      </c>
    </row>
    <row r="96" customFormat="false" ht="23.85" hidden="false" customHeight="false" outlineLevel="0" collapsed="false">
      <c r="A96" s="2" t="s">
        <v>897</v>
      </c>
      <c r="B96" s="2" t="s">
        <v>898</v>
      </c>
      <c r="C96" s="2" t="s">
        <v>898</v>
      </c>
      <c r="D96" s="2" t="s">
        <v>183</v>
      </c>
      <c r="E96" s="2" t="s">
        <v>103</v>
      </c>
      <c r="F96" s="2" t="s">
        <v>899</v>
      </c>
      <c r="G96" s="2" t="s">
        <v>72</v>
      </c>
      <c r="H96" s="2" t="s">
        <v>900</v>
      </c>
      <c r="I96" s="2" t="s">
        <v>364</v>
      </c>
      <c r="J96" s="15" t="n">
        <v>69</v>
      </c>
      <c r="K96" s="15" t="n">
        <v>10</v>
      </c>
      <c r="L96" s="2" t="s">
        <v>901</v>
      </c>
      <c r="M96" s="2" t="str">
        <f aca="false">IF(J96="","",IF(J96&lt;=4,"≤4",IF(J96&lt;=10,"5–10",IF(J96&lt;=20,"11–20",IF(J96&lt;=50,"21–50",IF(J96&lt;=250,"51–250","251+"))))))</f>
        <v>51–250</v>
      </c>
      <c r="N96" s="2" t="s">
        <v>902</v>
      </c>
      <c r="O96" s="2"/>
      <c r="P96" s="2"/>
      <c r="Q96" s="2"/>
      <c r="R96" s="16"/>
      <c r="S96" s="2"/>
      <c r="T96" s="16"/>
      <c r="U96" s="2"/>
      <c r="V96" s="16"/>
      <c r="W96" s="2"/>
      <c r="X96" s="2"/>
      <c r="Y96" s="2"/>
      <c r="Z96" s="17" t="s">
        <v>543</v>
      </c>
    </row>
    <row r="97" customFormat="false" ht="15" hidden="false" customHeight="false" outlineLevel="0" collapsed="false">
      <c r="A97" s="2" t="s">
        <v>903</v>
      </c>
      <c r="B97" s="2" t="s">
        <v>904</v>
      </c>
      <c r="C97" s="2" t="s">
        <v>904</v>
      </c>
      <c r="D97" s="2" t="s">
        <v>213</v>
      </c>
      <c r="E97" s="2" t="s">
        <v>102</v>
      </c>
      <c r="F97" s="2" t="s">
        <v>905</v>
      </c>
      <c r="G97" s="2" t="s">
        <v>72</v>
      </c>
      <c r="H97" s="2" t="s">
        <v>702</v>
      </c>
      <c r="I97" s="2" t="s">
        <v>336</v>
      </c>
      <c r="J97" s="15" t="n">
        <v>69</v>
      </c>
      <c r="K97" s="15" t="n">
        <v>10</v>
      </c>
      <c r="L97" s="2" t="s">
        <v>906</v>
      </c>
      <c r="M97" s="2" t="str">
        <f aca="false">IF(J97="","",IF(J97&lt;=4,"≤4",IF(J97&lt;=10,"5–10",IF(J97&lt;=20,"11–20",IF(J97&lt;=50,"21–50",IF(J97&lt;=250,"51–250","251+"))))))</f>
        <v>51–250</v>
      </c>
      <c r="N97" s="2"/>
      <c r="O97" s="2"/>
      <c r="P97" s="2"/>
      <c r="Q97" s="2"/>
      <c r="R97" s="16"/>
      <c r="S97" s="2"/>
      <c r="T97" s="16"/>
      <c r="U97" s="2"/>
      <c r="V97" s="16"/>
      <c r="W97" s="2"/>
      <c r="X97" s="2"/>
      <c r="Y97" s="2"/>
      <c r="Z97" s="17" t="s">
        <v>543</v>
      </c>
    </row>
    <row r="98" customFormat="false" ht="15" hidden="false" customHeight="false" outlineLevel="0" collapsed="false">
      <c r="A98" s="2" t="s">
        <v>907</v>
      </c>
      <c r="B98" s="2" t="s">
        <v>908</v>
      </c>
      <c r="C98" s="2" t="s">
        <v>908</v>
      </c>
      <c r="D98" s="2" t="s">
        <v>206</v>
      </c>
      <c r="E98" s="2" t="s">
        <v>107</v>
      </c>
      <c r="F98" s="2" t="s">
        <v>873</v>
      </c>
      <c r="G98" s="2" t="s">
        <v>72</v>
      </c>
      <c r="H98" s="2" t="s">
        <v>702</v>
      </c>
      <c r="I98" s="2" t="s">
        <v>336</v>
      </c>
      <c r="J98" s="15" t="n">
        <v>64</v>
      </c>
      <c r="K98" s="15" t="n">
        <v>9</v>
      </c>
      <c r="L98" s="2" t="s">
        <v>909</v>
      </c>
      <c r="M98" s="2" t="str">
        <f aca="false">IF(J98="","",IF(J98&lt;=4,"≤4",IF(J98&lt;=10,"5–10",IF(J98&lt;=20,"11–20",IF(J98&lt;=50,"21–50",IF(J98&lt;=250,"51–250","251+"))))))</f>
        <v>51–250</v>
      </c>
      <c r="N98" s="2" t="s">
        <v>910</v>
      </c>
      <c r="O98" s="2"/>
      <c r="P98" s="2"/>
      <c r="Q98" s="2"/>
      <c r="R98" s="16"/>
      <c r="S98" s="2"/>
      <c r="T98" s="16"/>
      <c r="U98" s="2"/>
      <c r="V98" s="16"/>
      <c r="W98" s="2"/>
      <c r="X98" s="2"/>
      <c r="Y98" s="2" t="s">
        <v>911</v>
      </c>
      <c r="Z98" s="17" t="s">
        <v>543</v>
      </c>
    </row>
    <row r="99" customFormat="false" ht="35.05" hidden="false" customHeight="false" outlineLevel="0" collapsed="false">
      <c r="A99" s="2" t="s">
        <v>912</v>
      </c>
      <c r="B99" s="2" t="s">
        <v>913</v>
      </c>
      <c r="C99" s="2" t="s">
        <v>913</v>
      </c>
      <c r="D99" s="2" t="s">
        <v>196</v>
      </c>
      <c r="E99" s="2" t="s">
        <v>106</v>
      </c>
      <c r="F99" s="2" t="s">
        <v>914</v>
      </c>
      <c r="G99" s="2" t="s">
        <v>73</v>
      </c>
      <c r="H99" s="2" t="s">
        <v>702</v>
      </c>
      <c r="I99" s="2" t="s">
        <v>336</v>
      </c>
      <c r="J99" s="15" t="n">
        <v>164</v>
      </c>
      <c r="K99" s="15" t="n">
        <v>8</v>
      </c>
      <c r="L99" s="2" t="s">
        <v>915</v>
      </c>
      <c r="M99" s="2" t="str">
        <f aca="false">IF(J99="","",IF(J99&lt;=4,"≤4",IF(J99&lt;=10,"5–10",IF(J99&lt;=20,"11–20",IF(J99&lt;=50,"21–50",IF(J99&lt;=250,"51–250","251+"))))))</f>
        <v>51–250</v>
      </c>
      <c r="N99" s="2" t="s">
        <v>916</v>
      </c>
      <c r="O99" s="2"/>
      <c r="P99" s="2"/>
      <c r="Q99" s="2"/>
      <c r="R99" s="16"/>
      <c r="S99" s="2"/>
      <c r="T99" s="16"/>
      <c r="U99" s="2"/>
      <c r="V99" s="16"/>
      <c r="W99" s="2"/>
      <c r="X99" s="2"/>
      <c r="Y99" s="2"/>
      <c r="Z99" s="17" t="s">
        <v>543</v>
      </c>
    </row>
    <row r="100" customFormat="false" ht="15" hidden="false" customHeight="false" outlineLevel="0" collapsed="false">
      <c r="A100" s="2" t="s">
        <v>917</v>
      </c>
      <c r="B100" s="2" t="s">
        <v>918</v>
      </c>
      <c r="C100" s="2" t="s">
        <v>918</v>
      </c>
      <c r="D100" s="2" t="s">
        <v>213</v>
      </c>
      <c r="E100" s="2" t="s">
        <v>102</v>
      </c>
      <c r="F100" s="2" t="s">
        <v>873</v>
      </c>
      <c r="G100" s="2" t="s">
        <v>72</v>
      </c>
      <c r="H100" s="2" t="s">
        <v>702</v>
      </c>
      <c r="I100" s="2" t="s">
        <v>364</v>
      </c>
      <c r="J100" s="15" t="n">
        <v>52</v>
      </c>
      <c r="K100" s="15" t="n">
        <v>6</v>
      </c>
      <c r="L100" s="2" t="s">
        <v>919</v>
      </c>
      <c r="M100" s="2" t="str">
        <f aca="false">IF(J100="","",IF(J100&lt;=4,"≤4",IF(J100&lt;=10,"5–10",IF(J100&lt;=20,"11–20",IF(J100&lt;=50,"21–50",IF(J100&lt;=250,"51–250","251+"))))))</f>
        <v>51–250</v>
      </c>
      <c r="N100" s="2" t="s">
        <v>920</v>
      </c>
      <c r="O100" s="2"/>
      <c r="P100" s="2"/>
      <c r="Q100" s="2"/>
      <c r="R100" s="16"/>
      <c r="S100" s="2"/>
      <c r="T100" s="16"/>
      <c r="U100" s="2"/>
      <c r="V100" s="16"/>
      <c r="W100" s="2"/>
      <c r="X100" s="2"/>
      <c r="Y100" s="2"/>
      <c r="Z100" s="17" t="s">
        <v>543</v>
      </c>
    </row>
    <row r="101" customFormat="false" ht="15" hidden="false" customHeight="false" outlineLevel="0" collapsed="false">
      <c r="A101" s="2" t="s">
        <v>921</v>
      </c>
      <c r="B101" s="2" t="s">
        <v>922</v>
      </c>
      <c r="C101" s="2" t="s">
        <v>923</v>
      </c>
      <c r="D101" s="2" t="s">
        <v>211</v>
      </c>
      <c r="E101" s="2" t="s">
        <v>103</v>
      </c>
      <c r="F101" s="2" t="s">
        <v>924</v>
      </c>
      <c r="G101" s="2" t="s">
        <v>72</v>
      </c>
      <c r="H101" s="2" t="s">
        <v>702</v>
      </c>
      <c r="I101" s="2" t="s">
        <v>336</v>
      </c>
      <c r="J101" s="15" t="n">
        <v>48</v>
      </c>
      <c r="K101" s="15" t="n">
        <v>12</v>
      </c>
      <c r="L101" s="2" t="s">
        <v>925</v>
      </c>
      <c r="M101" s="2" t="str">
        <f aca="false">IF(J101="","",IF(J101&lt;=4,"≤4",IF(J101&lt;=10,"5–10",IF(J101&lt;=20,"11–20",IF(J101&lt;=50,"21–50",IF(J101&lt;=250,"51–250","251+"))))))</f>
        <v>21–50</v>
      </c>
      <c r="N101" s="2"/>
      <c r="O101" s="2"/>
      <c r="P101" s="2"/>
      <c r="Q101" s="2"/>
      <c r="R101" s="16"/>
      <c r="S101" s="2"/>
      <c r="T101" s="16"/>
      <c r="U101" s="2"/>
      <c r="V101" s="16"/>
      <c r="W101" s="2"/>
      <c r="X101" s="2"/>
      <c r="Y101" s="2"/>
      <c r="Z101" s="17" t="s">
        <v>543</v>
      </c>
    </row>
    <row r="102" customFormat="false" ht="15" hidden="false" customHeight="false" outlineLevel="0" collapsed="false">
      <c r="A102" s="2" t="s">
        <v>926</v>
      </c>
      <c r="B102" s="2" t="s">
        <v>927</v>
      </c>
      <c r="C102" s="2" t="s">
        <v>928</v>
      </c>
      <c r="D102" s="2" t="s">
        <v>196</v>
      </c>
      <c r="E102" s="2" t="s">
        <v>106</v>
      </c>
      <c r="F102" s="2" t="s">
        <v>929</v>
      </c>
      <c r="G102" s="2" t="s">
        <v>72</v>
      </c>
      <c r="H102" s="2" t="s">
        <v>702</v>
      </c>
      <c r="I102" s="2" t="s">
        <v>364</v>
      </c>
      <c r="J102" s="15" t="n">
        <v>40</v>
      </c>
      <c r="K102" s="15" t="n">
        <v>7</v>
      </c>
      <c r="L102" s="2" t="s">
        <v>930</v>
      </c>
      <c r="M102" s="2" t="str">
        <f aca="false">IF(J102="","",IF(J102&lt;=4,"≤4",IF(J102&lt;=10,"5–10",IF(J102&lt;=20,"11–20",IF(J102&lt;=50,"21–50",IF(J102&lt;=250,"51–250","251+"))))))</f>
        <v>21–50</v>
      </c>
      <c r="N102" s="2"/>
      <c r="O102" s="2"/>
      <c r="P102" s="2"/>
      <c r="Q102" s="2"/>
      <c r="R102" s="16"/>
      <c r="S102" s="2"/>
      <c r="T102" s="16"/>
      <c r="U102" s="2"/>
      <c r="V102" s="16"/>
      <c r="W102" s="2"/>
      <c r="X102" s="2"/>
      <c r="Y102" s="2"/>
      <c r="Z102" s="17" t="s">
        <v>543</v>
      </c>
    </row>
    <row r="103" customFormat="false" ht="15" hidden="false" customHeight="false" outlineLevel="0" collapsed="false">
      <c r="A103" s="2" t="s">
        <v>931</v>
      </c>
      <c r="B103" s="2" t="s">
        <v>932</v>
      </c>
      <c r="C103" s="2" t="s">
        <v>932</v>
      </c>
      <c r="D103" s="2" t="s">
        <v>196</v>
      </c>
      <c r="E103" s="2" t="s">
        <v>106</v>
      </c>
      <c r="F103" s="2" t="s">
        <v>933</v>
      </c>
      <c r="G103" s="2" t="s">
        <v>72</v>
      </c>
      <c r="H103" s="2" t="s">
        <v>702</v>
      </c>
      <c r="I103" s="2" t="s">
        <v>364</v>
      </c>
      <c r="J103" s="15" t="n">
        <v>35</v>
      </c>
      <c r="K103" s="15" t="n">
        <v>1</v>
      </c>
      <c r="L103" s="2" t="s">
        <v>934</v>
      </c>
      <c r="M103" s="2" t="str">
        <f aca="false">IF(J103="","",IF(J103&lt;=4,"≤4",IF(J103&lt;=10,"5–10",IF(J103&lt;=20,"11–20",IF(J103&lt;=50,"21–50",IF(J103&lt;=250,"51–250","251+"))))))</f>
        <v>21–50</v>
      </c>
      <c r="N103" s="2"/>
      <c r="O103" s="2"/>
      <c r="P103" s="2"/>
      <c r="Q103" s="2"/>
      <c r="R103" s="16"/>
      <c r="S103" s="2"/>
      <c r="T103" s="16"/>
      <c r="U103" s="2"/>
      <c r="V103" s="16"/>
      <c r="W103" s="2"/>
      <c r="X103" s="2"/>
      <c r="Y103" s="2"/>
      <c r="Z103" s="17" t="s">
        <v>543</v>
      </c>
    </row>
    <row r="104" customFormat="false" ht="23.85" hidden="false" customHeight="false" outlineLevel="0" collapsed="false">
      <c r="A104" s="2" t="s">
        <v>935</v>
      </c>
      <c r="B104" s="2" t="s">
        <v>936</v>
      </c>
      <c r="C104" s="2" t="s">
        <v>937</v>
      </c>
      <c r="D104" s="2" t="s">
        <v>178</v>
      </c>
      <c r="E104" s="2" t="s">
        <v>107</v>
      </c>
      <c r="F104" s="2" t="s">
        <v>938</v>
      </c>
      <c r="G104" s="2" t="s">
        <v>72</v>
      </c>
      <c r="H104" s="2" t="s">
        <v>702</v>
      </c>
      <c r="I104" s="2" t="s">
        <v>336</v>
      </c>
      <c r="J104" s="15" t="n">
        <v>35</v>
      </c>
      <c r="K104" s="15" t="n">
        <v>5</v>
      </c>
      <c r="L104" s="2" t="s">
        <v>939</v>
      </c>
      <c r="M104" s="2" t="str">
        <f aca="false">IF(J104="","",IF(J104&lt;=4,"≤4",IF(J104&lt;=10,"5–10",IF(J104&lt;=20,"11–20",IF(J104&lt;=50,"21–50",IF(J104&lt;=250,"51–250","251+"))))))</f>
        <v>21–50</v>
      </c>
      <c r="N104" s="2"/>
      <c r="O104" s="2"/>
      <c r="P104" s="2"/>
      <c r="Q104" s="2"/>
      <c r="R104" s="16"/>
      <c r="S104" s="2"/>
      <c r="T104" s="16"/>
      <c r="U104" s="2"/>
      <c r="V104" s="16"/>
      <c r="W104" s="2"/>
      <c r="X104" s="2"/>
      <c r="Y104" s="2"/>
      <c r="Z104" s="17" t="s">
        <v>543</v>
      </c>
    </row>
    <row r="105" customFormat="false" ht="15" hidden="false" customHeight="false" outlineLevel="0" collapsed="false">
      <c r="A105" s="2" t="s">
        <v>940</v>
      </c>
      <c r="B105" s="2" t="s">
        <v>941</v>
      </c>
      <c r="C105" s="2" t="s">
        <v>941</v>
      </c>
      <c r="D105" s="2" t="s">
        <v>211</v>
      </c>
      <c r="E105" s="2" t="s">
        <v>103</v>
      </c>
      <c r="F105" s="2" t="s">
        <v>942</v>
      </c>
      <c r="G105" s="2" t="s">
        <v>72</v>
      </c>
      <c r="H105" s="2" t="s">
        <v>702</v>
      </c>
      <c r="I105" s="2" t="s">
        <v>364</v>
      </c>
      <c r="J105" s="15" t="n">
        <v>33</v>
      </c>
      <c r="K105" s="15" t="n">
        <v>4</v>
      </c>
      <c r="L105" s="2" t="s">
        <v>943</v>
      </c>
      <c r="M105" s="2" t="str">
        <f aca="false">IF(J105="","",IF(J105&lt;=4,"≤4",IF(J105&lt;=10,"5–10",IF(J105&lt;=20,"11–20",IF(J105&lt;=50,"21–50",IF(J105&lt;=250,"51–250","251+"))))))</f>
        <v>21–50</v>
      </c>
      <c r="N105" s="2"/>
      <c r="O105" s="2"/>
      <c r="P105" s="2"/>
      <c r="Q105" s="2"/>
      <c r="R105" s="16"/>
      <c r="S105" s="2"/>
      <c r="T105" s="16"/>
      <c r="U105" s="2"/>
      <c r="V105" s="16"/>
      <c r="W105" s="2"/>
      <c r="X105" s="2"/>
      <c r="Y105" s="2"/>
      <c r="Z105" s="17" t="s">
        <v>543</v>
      </c>
    </row>
    <row r="106" customFormat="false" ht="15" hidden="false" customHeight="false" outlineLevel="0" collapsed="false">
      <c r="A106" s="2" t="s">
        <v>944</v>
      </c>
      <c r="B106" s="2" t="s">
        <v>945</v>
      </c>
      <c r="C106" s="2" t="s">
        <v>945</v>
      </c>
      <c r="D106" s="2" t="s">
        <v>213</v>
      </c>
      <c r="E106" s="2" t="s">
        <v>102</v>
      </c>
      <c r="F106" s="2" t="s">
        <v>899</v>
      </c>
      <c r="G106" s="2" t="s">
        <v>72</v>
      </c>
      <c r="H106" s="2" t="s">
        <v>702</v>
      </c>
      <c r="I106" s="2" t="s">
        <v>364</v>
      </c>
      <c r="J106" s="15" t="n">
        <v>28</v>
      </c>
      <c r="K106" s="15" t="n">
        <v>3</v>
      </c>
      <c r="L106" s="2" t="s">
        <v>946</v>
      </c>
      <c r="M106" s="2" t="str">
        <f aca="false">IF(J106="","",IF(J106&lt;=4,"≤4",IF(J106&lt;=10,"5–10",IF(J106&lt;=20,"11–20",IF(J106&lt;=50,"21–50",IF(J106&lt;=250,"51–250","251+"))))))</f>
        <v>21–50</v>
      </c>
      <c r="N106" s="2"/>
      <c r="O106" s="2"/>
      <c r="P106" s="2"/>
      <c r="Q106" s="2"/>
      <c r="R106" s="16"/>
      <c r="S106" s="2"/>
      <c r="T106" s="16"/>
      <c r="U106" s="2"/>
      <c r="V106" s="16"/>
      <c r="W106" s="2"/>
      <c r="X106" s="2"/>
      <c r="Y106" s="2"/>
      <c r="Z106" s="17" t="s">
        <v>543</v>
      </c>
    </row>
    <row r="107" customFormat="false" ht="23.85" hidden="false" customHeight="false" outlineLevel="0" collapsed="false">
      <c r="A107" s="2" t="s">
        <v>947</v>
      </c>
      <c r="B107" s="2" t="s">
        <v>948</v>
      </c>
      <c r="C107" s="2" t="s">
        <v>949</v>
      </c>
      <c r="D107" s="2" t="s">
        <v>187</v>
      </c>
      <c r="E107" s="2" t="s">
        <v>102</v>
      </c>
      <c r="F107" s="2" t="s">
        <v>950</v>
      </c>
      <c r="G107" s="2" t="s">
        <v>71</v>
      </c>
      <c r="H107" s="2" t="s">
        <v>702</v>
      </c>
      <c r="I107" s="2" t="s">
        <v>336</v>
      </c>
      <c r="J107" s="15" t="n">
        <v>24</v>
      </c>
      <c r="K107" s="15" t="n">
        <v>3</v>
      </c>
      <c r="L107" s="2" t="s">
        <v>730</v>
      </c>
      <c r="M107" s="2" t="str">
        <f aca="false">IF(J107="","",IF(J107&lt;=4,"≤4",IF(J107&lt;=10,"5–10",IF(J107&lt;=20,"11–20",IF(J107&lt;=50,"21–50",IF(J107&lt;=250,"51–250","251+"))))))</f>
        <v>21–50</v>
      </c>
      <c r="N107" s="2" t="s">
        <v>951</v>
      </c>
      <c r="O107" s="2"/>
      <c r="P107" s="2"/>
      <c r="Q107" s="2"/>
      <c r="R107" s="16"/>
      <c r="S107" s="2"/>
      <c r="T107" s="16"/>
      <c r="U107" s="2"/>
      <c r="V107" s="16"/>
      <c r="W107" s="2"/>
      <c r="X107" s="2"/>
      <c r="Y107" s="2"/>
      <c r="Z107" s="17" t="s">
        <v>543</v>
      </c>
    </row>
    <row r="108" customFormat="false" ht="15" hidden="false" customHeight="false" outlineLevel="0" collapsed="false">
      <c r="A108" s="2" t="s">
        <v>952</v>
      </c>
      <c r="B108" s="2" t="s">
        <v>953</v>
      </c>
      <c r="C108" s="2" t="s">
        <v>953</v>
      </c>
      <c r="D108" s="2" t="s">
        <v>211</v>
      </c>
      <c r="E108" s="2" t="s">
        <v>103</v>
      </c>
      <c r="F108" s="2" t="s">
        <v>954</v>
      </c>
      <c r="G108" s="2" t="s">
        <v>72</v>
      </c>
      <c r="H108" s="2" t="s">
        <v>702</v>
      </c>
      <c r="I108" s="2" t="s">
        <v>364</v>
      </c>
      <c r="J108" s="15" t="n">
        <v>24</v>
      </c>
      <c r="K108" s="15" t="n">
        <v>3</v>
      </c>
      <c r="L108" s="2" t="s">
        <v>946</v>
      </c>
      <c r="M108" s="2" t="str">
        <f aca="false">IF(J108="","",IF(J108&lt;=4,"≤4",IF(J108&lt;=10,"5–10",IF(J108&lt;=20,"11–20",IF(J108&lt;=50,"21–50",IF(J108&lt;=250,"51–250","251+"))))))</f>
        <v>21–50</v>
      </c>
      <c r="N108" s="2"/>
      <c r="O108" s="2"/>
      <c r="P108" s="2"/>
      <c r="Q108" s="2"/>
      <c r="R108" s="16"/>
      <c r="S108" s="2"/>
      <c r="T108" s="16"/>
      <c r="U108" s="2"/>
      <c r="V108" s="16"/>
      <c r="W108" s="2"/>
      <c r="X108" s="2"/>
      <c r="Y108" s="2"/>
      <c r="Z108" s="17" t="s">
        <v>543</v>
      </c>
    </row>
    <row r="109" customFormat="false" ht="23.85" hidden="false" customHeight="false" outlineLevel="0" collapsed="false">
      <c r="A109" s="2" t="s">
        <v>955</v>
      </c>
      <c r="B109" s="2" t="s">
        <v>956</v>
      </c>
      <c r="C109" s="2" t="s">
        <v>957</v>
      </c>
      <c r="D109" s="2" t="s">
        <v>178</v>
      </c>
      <c r="E109" s="2" t="s">
        <v>107</v>
      </c>
      <c r="F109" s="2" t="s">
        <v>958</v>
      </c>
      <c r="G109" s="2" t="s">
        <v>72</v>
      </c>
      <c r="H109" s="2" t="s">
        <v>702</v>
      </c>
      <c r="I109" s="2" t="s">
        <v>336</v>
      </c>
      <c r="J109" s="15" t="n">
        <v>21</v>
      </c>
      <c r="K109" s="15" t="n">
        <v>4</v>
      </c>
      <c r="L109" s="2" t="s">
        <v>959</v>
      </c>
      <c r="M109" s="2" t="str">
        <f aca="false">IF(J109="","",IF(J109&lt;=4,"≤4",IF(J109&lt;=10,"5–10",IF(J109&lt;=20,"11–20",IF(J109&lt;=50,"21–50",IF(J109&lt;=250,"51–250","251+"))))))</f>
        <v>21–50</v>
      </c>
      <c r="N109" s="2" t="s">
        <v>960</v>
      </c>
      <c r="O109" s="2"/>
      <c r="P109" s="2"/>
      <c r="Q109" s="2"/>
      <c r="R109" s="16"/>
      <c r="S109" s="2"/>
      <c r="T109" s="16"/>
      <c r="U109" s="2"/>
      <c r="V109" s="16"/>
      <c r="W109" s="2"/>
      <c r="X109" s="2"/>
      <c r="Y109" s="2"/>
      <c r="Z109" s="17" t="s">
        <v>543</v>
      </c>
    </row>
    <row r="110" customFormat="false" ht="15" hidden="false" customHeight="false" outlineLevel="0" collapsed="false">
      <c r="A110" s="2" t="s">
        <v>961</v>
      </c>
      <c r="B110" s="2" t="s">
        <v>962</v>
      </c>
      <c r="C110" s="2" t="s">
        <v>962</v>
      </c>
      <c r="D110" s="2" t="s">
        <v>211</v>
      </c>
      <c r="E110" s="2" t="s">
        <v>103</v>
      </c>
      <c r="F110" s="2" t="s">
        <v>905</v>
      </c>
      <c r="G110" s="2" t="s">
        <v>72</v>
      </c>
      <c r="H110" s="2" t="s">
        <v>702</v>
      </c>
      <c r="I110" s="2" t="s">
        <v>364</v>
      </c>
      <c r="J110" s="15" t="n">
        <v>19</v>
      </c>
      <c r="K110" s="15" t="n">
        <v>3</v>
      </c>
      <c r="L110" s="2" t="s">
        <v>946</v>
      </c>
      <c r="M110" s="2" t="str">
        <f aca="false">IF(J110="","",IF(J110&lt;=4,"≤4",IF(J110&lt;=10,"5–10",IF(J110&lt;=20,"11–20",IF(J110&lt;=50,"21–50",IF(J110&lt;=250,"51–250","251+"))))))</f>
        <v>11–20</v>
      </c>
      <c r="N110" s="2" t="s">
        <v>963</v>
      </c>
      <c r="O110" s="2"/>
      <c r="P110" s="2"/>
      <c r="Q110" s="2"/>
      <c r="R110" s="16"/>
      <c r="S110" s="2"/>
      <c r="T110" s="16"/>
      <c r="U110" s="2"/>
      <c r="V110" s="16"/>
      <c r="W110" s="2"/>
      <c r="X110" s="2"/>
      <c r="Y110" s="2"/>
      <c r="Z110" s="17" t="s">
        <v>543</v>
      </c>
    </row>
    <row r="111" customFormat="false" ht="15" hidden="false" customHeight="false" outlineLevel="0" collapsed="false">
      <c r="A111" s="2" t="s">
        <v>964</v>
      </c>
      <c r="B111" s="2" t="s">
        <v>965</v>
      </c>
      <c r="C111" s="2" t="s">
        <v>965</v>
      </c>
      <c r="D111" s="2" t="s">
        <v>196</v>
      </c>
      <c r="E111" s="2" t="s">
        <v>106</v>
      </c>
      <c r="F111" s="2" t="s">
        <v>966</v>
      </c>
      <c r="G111" s="2" t="s">
        <v>72</v>
      </c>
      <c r="H111" s="2" t="s">
        <v>702</v>
      </c>
      <c r="I111" s="2" t="s">
        <v>336</v>
      </c>
      <c r="J111" s="15" t="n">
        <v>18</v>
      </c>
      <c r="K111" s="15" t="n">
        <v>2</v>
      </c>
      <c r="L111" s="2" t="s">
        <v>967</v>
      </c>
      <c r="M111" s="2" t="str">
        <f aca="false">IF(J111="","",IF(J111&lt;=4,"≤4",IF(J111&lt;=10,"5–10",IF(J111&lt;=20,"11–20",IF(J111&lt;=50,"21–50",IF(J111&lt;=250,"51–250","251+"))))))</f>
        <v>11–20</v>
      </c>
      <c r="N111" s="2"/>
      <c r="O111" s="2"/>
      <c r="P111" s="2"/>
      <c r="Q111" s="2"/>
      <c r="R111" s="16"/>
      <c r="S111" s="2"/>
      <c r="T111" s="16"/>
      <c r="U111" s="2"/>
      <c r="V111" s="16"/>
      <c r="W111" s="2"/>
      <c r="X111" s="2"/>
      <c r="Y111" s="2"/>
      <c r="Z111" s="17" t="s">
        <v>543</v>
      </c>
    </row>
    <row r="112" customFormat="false" ht="15" hidden="false" customHeight="false" outlineLevel="0" collapsed="false">
      <c r="A112" s="2" t="s">
        <v>968</v>
      </c>
      <c r="B112" s="2" t="s">
        <v>969</v>
      </c>
      <c r="C112" s="2" t="s">
        <v>969</v>
      </c>
      <c r="D112" s="2" t="s">
        <v>196</v>
      </c>
      <c r="E112" s="2" t="s">
        <v>106</v>
      </c>
      <c r="F112" s="2" t="s">
        <v>958</v>
      </c>
      <c r="G112" s="2" t="s">
        <v>72</v>
      </c>
      <c r="H112" s="2" t="s">
        <v>702</v>
      </c>
      <c r="I112" s="2" t="s">
        <v>336</v>
      </c>
      <c r="J112" s="15" t="n">
        <v>11</v>
      </c>
      <c r="K112" s="15" t="n">
        <v>1</v>
      </c>
      <c r="L112" s="2" t="s">
        <v>970</v>
      </c>
      <c r="M112" s="2" t="str">
        <f aca="false">IF(J112="","",IF(J112&lt;=4,"≤4",IF(J112&lt;=10,"5–10",IF(J112&lt;=20,"11–20",IF(J112&lt;=50,"21–50",IF(J112&lt;=250,"51–250","251+"))))))</f>
        <v>11–20</v>
      </c>
      <c r="N112" s="2"/>
      <c r="O112" s="2"/>
      <c r="P112" s="2"/>
      <c r="Q112" s="2"/>
      <c r="R112" s="16"/>
      <c r="S112" s="2"/>
      <c r="T112" s="16"/>
      <c r="U112" s="2"/>
      <c r="V112" s="16"/>
      <c r="W112" s="2"/>
      <c r="X112" s="2"/>
      <c r="Y112" s="2"/>
      <c r="Z112" s="17" t="s">
        <v>543</v>
      </c>
    </row>
    <row r="113" customFormat="false" ht="23.85" hidden="false" customHeight="false" outlineLevel="0" collapsed="false">
      <c r="A113" s="2" t="s">
        <v>971</v>
      </c>
      <c r="B113" s="2" t="s">
        <v>972</v>
      </c>
      <c r="C113" s="2" t="s">
        <v>973</v>
      </c>
      <c r="D113" s="2" t="s">
        <v>178</v>
      </c>
      <c r="E113" s="2" t="s">
        <v>107</v>
      </c>
      <c r="F113" s="2" t="s">
        <v>938</v>
      </c>
      <c r="G113" s="2" t="s">
        <v>72</v>
      </c>
      <c r="H113" s="2" t="s">
        <v>702</v>
      </c>
      <c r="I113" s="2" t="s">
        <v>364</v>
      </c>
      <c r="J113" s="15" t="n">
        <v>8</v>
      </c>
      <c r="K113" s="15" t="n">
        <v>2</v>
      </c>
      <c r="L113" s="2" t="s">
        <v>974</v>
      </c>
      <c r="M113" s="2" t="str">
        <f aca="false">IF(J113="","",IF(J113&lt;=4,"≤4",IF(J113&lt;=10,"5–10",IF(J113&lt;=20,"11–20",IF(J113&lt;=50,"21–50",IF(J113&lt;=250,"51–250","251+"))))))</f>
        <v>5–10</v>
      </c>
      <c r="N113" s="2"/>
      <c r="O113" s="2"/>
      <c r="P113" s="2"/>
      <c r="Q113" s="2"/>
      <c r="R113" s="16"/>
      <c r="S113" s="2"/>
      <c r="T113" s="16"/>
      <c r="U113" s="2"/>
      <c r="V113" s="16"/>
      <c r="W113" s="2"/>
      <c r="X113" s="2"/>
      <c r="Y113" s="2"/>
      <c r="Z113" s="17" t="s">
        <v>543</v>
      </c>
    </row>
    <row r="114" customFormat="false" ht="23.85" hidden="false" customHeight="false" outlineLevel="0" collapsed="false">
      <c r="A114" s="2" t="s">
        <v>975</v>
      </c>
      <c r="B114" s="2" t="s">
        <v>976</v>
      </c>
      <c r="C114" s="2" t="s">
        <v>977</v>
      </c>
      <c r="D114" s="2" t="s">
        <v>214</v>
      </c>
      <c r="E114" s="2" t="s">
        <v>103</v>
      </c>
      <c r="F114" s="2" t="s">
        <v>978</v>
      </c>
      <c r="G114" s="2" t="s">
        <v>72</v>
      </c>
      <c r="H114" s="2" t="s">
        <v>495</v>
      </c>
      <c r="I114" s="2" t="s">
        <v>336</v>
      </c>
      <c r="J114" s="15" t="n">
        <v>100</v>
      </c>
      <c r="K114" s="15" t="n">
        <v>93</v>
      </c>
      <c r="L114" s="2" t="s">
        <v>979</v>
      </c>
      <c r="M114" s="2" t="str">
        <f aca="false">IF(J114="","",IF(J114&lt;=4,"≤4",IF(J114&lt;=10,"5–10",IF(J114&lt;=20,"11–20",IF(J114&lt;=50,"21–50",IF(J114&lt;=250,"51–250","251+"))))))</f>
        <v>51–250</v>
      </c>
      <c r="N114" s="2" t="s">
        <v>473</v>
      </c>
      <c r="O114" s="2" t="s">
        <v>980</v>
      </c>
      <c r="P114" s="2"/>
      <c r="Q114" s="2"/>
      <c r="R114" s="16"/>
      <c r="S114" s="2"/>
      <c r="T114" s="16"/>
      <c r="U114" s="2"/>
      <c r="V114" s="16"/>
      <c r="W114" s="2" t="s">
        <v>981</v>
      </c>
      <c r="X114" s="2"/>
      <c r="Y114" s="2"/>
      <c r="Z114" s="17" t="s">
        <v>543</v>
      </c>
    </row>
    <row r="115" customFormat="false" ht="46.25" hidden="false" customHeight="false" outlineLevel="0" collapsed="false">
      <c r="A115" s="2" t="s">
        <v>982</v>
      </c>
      <c r="B115" s="2" t="s">
        <v>983</v>
      </c>
      <c r="C115" s="2" t="s">
        <v>984</v>
      </c>
      <c r="D115" s="2" t="s">
        <v>211</v>
      </c>
      <c r="E115" s="2" t="s">
        <v>103</v>
      </c>
      <c r="F115" s="2" t="s">
        <v>985</v>
      </c>
      <c r="G115" s="2" t="s">
        <v>73</v>
      </c>
      <c r="H115" s="2" t="s">
        <v>986</v>
      </c>
      <c r="I115" s="2" t="s">
        <v>336</v>
      </c>
      <c r="J115" s="15" t="n">
        <v>1500</v>
      </c>
      <c r="K115" s="15"/>
      <c r="L115" s="2" t="s">
        <v>987</v>
      </c>
      <c r="M115" s="2" t="str">
        <f aca="false">IF(J115="","",IF(J115&lt;=4,"≤4",IF(J115&lt;=10,"5–10",IF(J115&lt;=20,"11–20",IF(J115&lt;=50,"21–50",IF(J115&lt;=250,"51–250","251+"))))))</f>
        <v>251+</v>
      </c>
      <c r="N115" s="2" t="s">
        <v>444</v>
      </c>
      <c r="O115" s="2" t="s">
        <v>988</v>
      </c>
      <c r="P115" s="2"/>
      <c r="Q115" s="2" t="s">
        <v>989</v>
      </c>
      <c r="R115" s="16"/>
      <c r="S115" s="2"/>
      <c r="T115" s="16"/>
      <c r="U115" s="2"/>
      <c r="V115" s="16"/>
      <c r="W115" s="2"/>
      <c r="X115" s="2"/>
      <c r="Y115" s="2" t="s">
        <v>990</v>
      </c>
      <c r="Z115" s="17" t="s">
        <v>991</v>
      </c>
    </row>
    <row r="116" customFormat="false" ht="35.05" hidden="false" customHeight="false" outlineLevel="0" collapsed="false">
      <c r="A116" s="2" t="s">
        <v>992</v>
      </c>
      <c r="B116" s="2" t="s">
        <v>993</v>
      </c>
      <c r="C116" s="2" t="s">
        <v>994</v>
      </c>
      <c r="D116" s="2" t="s">
        <v>217</v>
      </c>
      <c r="E116" s="2" t="s">
        <v>104</v>
      </c>
      <c r="F116" s="2" t="s">
        <v>995</v>
      </c>
      <c r="G116" s="2" t="s">
        <v>73</v>
      </c>
      <c r="H116" s="2" t="s">
        <v>996</v>
      </c>
      <c r="I116" s="2" t="s">
        <v>997</v>
      </c>
      <c r="J116" s="15" t="n">
        <v>1100</v>
      </c>
      <c r="K116" s="15" t="n">
        <v>550</v>
      </c>
      <c r="L116" s="2" t="s">
        <v>998</v>
      </c>
      <c r="M116" s="2" t="str">
        <f aca="false">IF(J116="","",IF(J116&lt;=4,"≤4",IF(J116&lt;=10,"5–10",IF(J116&lt;=20,"11–20",IF(J116&lt;=50,"21–50",IF(J116&lt;=250,"51–250","251+"))))))</f>
        <v>251+</v>
      </c>
      <c r="N116" s="2" t="s">
        <v>999</v>
      </c>
      <c r="O116" s="2"/>
      <c r="P116" s="2"/>
      <c r="Q116" s="2"/>
      <c r="R116" s="16" t="n">
        <v>600000000</v>
      </c>
      <c r="S116" s="2"/>
      <c r="T116" s="16"/>
      <c r="U116" s="2" t="s">
        <v>1000</v>
      </c>
      <c r="V116" s="16"/>
      <c r="W116" s="2"/>
      <c r="X116" s="2"/>
      <c r="Y116" s="2" t="s">
        <v>1001</v>
      </c>
      <c r="Z116" s="17" t="s">
        <v>1002</v>
      </c>
    </row>
    <row r="117" customFormat="false" ht="23.85" hidden="false" customHeight="false" outlineLevel="0" collapsed="false">
      <c r="A117" s="2" t="s">
        <v>1003</v>
      </c>
      <c r="B117" s="2" t="s">
        <v>1004</v>
      </c>
      <c r="C117" s="2" t="s">
        <v>1005</v>
      </c>
      <c r="D117" s="2" t="s">
        <v>217</v>
      </c>
      <c r="E117" s="2" t="s">
        <v>104</v>
      </c>
      <c r="F117" s="2" t="s">
        <v>1006</v>
      </c>
      <c r="G117" s="2" t="s">
        <v>72</v>
      </c>
      <c r="H117" s="2" t="s">
        <v>553</v>
      </c>
      <c r="I117" s="2" t="s">
        <v>336</v>
      </c>
      <c r="J117" s="15" t="n">
        <v>159</v>
      </c>
      <c r="K117" s="15" t="n">
        <v>158</v>
      </c>
      <c r="L117" s="2" t="s">
        <v>1007</v>
      </c>
      <c r="M117" s="2" t="str">
        <f aca="false">IF(J117="","",IF(J117&lt;=4,"≤4",IF(J117&lt;=10,"5–10",IF(J117&lt;=20,"11–20",IF(J117&lt;=50,"21–50",IF(J117&lt;=250,"51–250","251+"))))))</f>
        <v>51–250</v>
      </c>
      <c r="N117" s="2" t="s">
        <v>422</v>
      </c>
      <c r="O117" s="2"/>
      <c r="P117" s="2"/>
      <c r="Q117" s="2"/>
      <c r="R117" s="16"/>
      <c r="S117" s="2"/>
      <c r="T117" s="16"/>
      <c r="U117" s="2" t="s">
        <v>1008</v>
      </c>
      <c r="V117" s="16" t="n">
        <v>29280757</v>
      </c>
      <c r="W117" s="2" t="s">
        <v>1009</v>
      </c>
      <c r="X117" s="2"/>
      <c r="Y117" s="2"/>
      <c r="Z117" s="17" t="s">
        <v>1010</v>
      </c>
    </row>
    <row r="118" customFormat="false" ht="23.85" hidden="false" customHeight="false" outlineLevel="0" collapsed="false">
      <c r="A118" s="2" t="s">
        <v>1011</v>
      </c>
      <c r="B118" s="2" t="s">
        <v>1012</v>
      </c>
      <c r="C118" s="2" t="s">
        <v>1012</v>
      </c>
      <c r="D118" s="2" t="s">
        <v>211</v>
      </c>
      <c r="E118" s="2" t="s">
        <v>103</v>
      </c>
      <c r="F118" s="2" t="s">
        <v>1013</v>
      </c>
      <c r="G118" s="2" t="s">
        <v>73</v>
      </c>
      <c r="H118" s="2" t="s">
        <v>1014</v>
      </c>
      <c r="I118" s="2" t="s">
        <v>336</v>
      </c>
      <c r="J118" s="15" t="n">
        <v>320</v>
      </c>
      <c r="K118" s="15"/>
      <c r="L118" s="2" t="s">
        <v>1015</v>
      </c>
      <c r="M118" s="2" t="str">
        <f aca="false">IF(J118="","",IF(J118&lt;=4,"≤4",IF(J118&lt;=10,"5–10",IF(J118&lt;=20,"11–20",IF(J118&lt;=50,"21–50",IF(J118&lt;=250,"51–250","251+"))))))</f>
        <v>251+</v>
      </c>
      <c r="N118" s="2"/>
      <c r="O118" s="2"/>
      <c r="P118" s="2"/>
      <c r="Q118" s="2"/>
      <c r="R118" s="16"/>
      <c r="S118" s="2"/>
      <c r="T118" s="16"/>
      <c r="U118" s="2"/>
      <c r="V118" s="16"/>
      <c r="W118" s="2"/>
      <c r="X118" s="2"/>
      <c r="Y118" s="2" t="s">
        <v>1016</v>
      </c>
      <c r="Z118" s="17" t="s">
        <v>451</v>
      </c>
    </row>
    <row r="119" customFormat="false" ht="23.85" hidden="false" customHeight="false" outlineLevel="0" collapsed="false">
      <c r="A119" s="2" t="s">
        <v>1017</v>
      </c>
      <c r="B119" s="2" t="s">
        <v>1018</v>
      </c>
      <c r="C119" s="2" t="s">
        <v>1019</v>
      </c>
      <c r="D119" s="2" t="s">
        <v>196</v>
      </c>
      <c r="E119" s="2" t="s">
        <v>106</v>
      </c>
      <c r="F119" s="2" t="s">
        <v>1020</v>
      </c>
      <c r="G119" s="2" t="s">
        <v>73</v>
      </c>
      <c r="H119" s="2" t="s">
        <v>495</v>
      </c>
      <c r="I119" s="2" t="s">
        <v>336</v>
      </c>
      <c r="J119" s="15" t="n">
        <v>237</v>
      </c>
      <c r="K119" s="15" t="n">
        <v>234</v>
      </c>
      <c r="L119" s="2" t="s">
        <v>1021</v>
      </c>
      <c r="M119" s="2" t="str">
        <f aca="false">IF(J119="","",IF(J119&lt;=4,"≤4",IF(J119&lt;=10,"5–10",IF(J119&lt;=20,"11–20",IF(J119&lt;=50,"21–50",IF(J119&lt;=250,"51–250","251+"))))))</f>
        <v>51–250</v>
      </c>
      <c r="N119" s="2"/>
      <c r="O119" s="2"/>
      <c r="P119" s="2"/>
      <c r="Q119" s="2"/>
      <c r="R119" s="16"/>
      <c r="S119" s="2"/>
      <c r="T119" s="16"/>
      <c r="U119" s="2"/>
      <c r="V119" s="16"/>
      <c r="W119" s="2"/>
      <c r="X119" s="2"/>
      <c r="Y119" s="2" t="s">
        <v>1022</v>
      </c>
      <c r="Z119" s="17" t="s">
        <v>451</v>
      </c>
    </row>
    <row r="120" customFormat="false" ht="35.05" hidden="false" customHeight="false" outlineLevel="0" collapsed="false">
      <c r="A120" s="2" t="s">
        <v>1023</v>
      </c>
      <c r="B120" s="2" t="s">
        <v>1024</v>
      </c>
      <c r="C120" s="2" t="s">
        <v>1025</v>
      </c>
      <c r="D120" s="2" t="s">
        <v>181</v>
      </c>
      <c r="E120" s="2" t="s">
        <v>100</v>
      </c>
      <c r="F120" s="2" t="s">
        <v>1026</v>
      </c>
      <c r="G120" s="2" t="s">
        <v>73</v>
      </c>
      <c r="H120" s="2" t="s">
        <v>495</v>
      </c>
      <c r="I120" s="2" t="s">
        <v>336</v>
      </c>
      <c r="J120" s="15" t="n">
        <v>174</v>
      </c>
      <c r="K120" s="15" t="n">
        <v>174</v>
      </c>
      <c r="L120" s="2" t="s">
        <v>1027</v>
      </c>
      <c r="M120" s="2" t="str">
        <f aca="false">IF(J120="","",IF(J120&lt;=4,"≤4",IF(J120&lt;=10,"5–10",IF(J120&lt;=20,"11–20",IF(J120&lt;=50,"21–50",IF(J120&lt;=250,"51–250","251+"))))))</f>
        <v>51–250</v>
      </c>
      <c r="N120" s="2" t="s">
        <v>478</v>
      </c>
      <c r="O120" s="2"/>
      <c r="P120" s="2"/>
      <c r="Q120" s="2"/>
      <c r="R120" s="16"/>
      <c r="S120" s="2"/>
      <c r="T120" s="16"/>
      <c r="U120" s="2"/>
      <c r="V120" s="16"/>
      <c r="W120" s="2" t="s">
        <v>1028</v>
      </c>
      <c r="X120" s="2"/>
      <c r="Y120" s="2" t="s">
        <v>1029</v>
      </c>
      <c r="Z120" s="17" t="s">
        <v>543</v>
      </c>
    </row>
    <row r="121" customFormat="false" ht="23.85" hidden="false" customHeight="false" outlineLevel="0" collapsed="false">
      <c r="A121" s="2" t="s">
        <v>1030</v>
      </c>
      <c r="B121" s="2" t="s">
        <v>1031</v>
      </c>
      <c r="C121" s="2" t="s">
        <v>1031</v>
      </c>
      <c r="D121" s="2" t="s">
        <v>217</v>
      </c>
      <c r="E121" s="2" t="s">
        <v>104</v>
      </c>
      <c r="F121" s="2" t="s">
        <v>1032</v>
      </c>
      <c r="G121" s="2" t="s">
        <v>73</v>
      </c>
      <c r="H121" s="2" t="s">
        <v>1033</v>
      </c>
      <c r="I121" s="2" t="s">
        <v>336</v>
      </c>
      <c r="J121" s="15" t="n">
        <v>172</v>
      </c>
      <c r="K121" s="15" t="n">
        <v>171</v>
      </c>
      <c r="L121" s="2" t="s">
        <v>1034</v>
      </c>
      <c r="M121" s="2" t="str">
        <f aca="false">IF(J121="","",IF(J121&lt;=4,"≤4",IF(J121&lt;=10,"5–10",IF(J121&lt;=20,"11–20",IF(J121&lt;=50,"21–50",IF(J121&lt;=250,"51–250","251+"))))))</f>
        <v>51–250</v>
      </c>
      <c r="N121" s="2" t="s">
        <v>385</v>
      </c>
      <c r="O121" s="2" t="s">
        <v>1035</v>
      </c>
      <c r="P121" s="2"/>
      <c r="Q121" s="2"/>
      <c r="R121" s="16"/>
      <c r="S121" s="2"/>
      <c r="T121" s="16"/>
      <c r="U121" s="2"/>
      <c r="V121" s="16"/>
      <c r="W121" s="2" t="s">
        <v>1036</v>
      </c>
      <c r="X121" s="2"/>
      <c r="Y121" s="2" t="s">
        <v>1037</v>
      </c>
      <c r="Z121" s="17" t="s">
        <v>543</v>
      </c>
    </row>
    <row r="122" customFormat="false" ht="23.85" hidden="false" customHeight="false" outlineLevel="0" collapsed="false">
      <c r="A122" s="2" t="s">
        <v>1038</v>
      </c>
      <c r="B122" s="2" t="s">
        <v>1039</v>
      </c>
      <c r="C122" s="2" t="s">
        <v>1039</v>
      </c>
      <c r="D122" s="2" t="s">
        <v>211</v>
      </c>
      <c r="E122" s="2" t="s">
        <v>103</v>
      </c>
      <c r="F122" s="2" t="s">
        <v>1040</v>
      </c>
      <c r="G122" s="2" t="s">
        <v>73</v>
      </c>
      <c r="H122" s="2" t="s">
        <v>702</v>
      </c>
      <c r="I122" s="2" t="s">
        <v>336</v>
      </c>
      <c r="J122" s="15" t="n">
        <v>130</v>
      </c>
      <c r="K122" s="15"/>
      <c r="L122" s="2" t="s">
        <v>1015</v>
      </c>
      <c r="M122" s="2" t="str">
        <f aca="false">IF(J122="","",IF(J122&lt;=4,"≤4",IF(J122&lt;=10,"5–10",IF(J122&lt;=20,"11–20",IF(J122&lt;=50,"21–50",IF(J122&lt;=250,"51–250","251+"))))))</f>
        <v>51–250</v>
      </c>
      <c r="N122" s="2"/>
      <c r="O122" s="2"/>
      <c r="P122" s="2"/>
      <c r="Q122" s="2"/>
      <c r="R122" s="16"/>
      <c r="S122" s="2"/>
      <c r="T122" s="16"/>
      <c r="U122" s="2"/>
      <c r="V122" s="16"/>
      <c r="W122" s="2"/>
      <c r="X122" s="2"/>
      <c r="Y122" s="2"/>
      <c r="Z122" s="17" t="s">
        <v>451</v>
      </c>
    </row>
    <row r="123" customFormat="false" ht="15" hidden="false" customHeight="false" outlineLevel="0" collapsed="false">
      <c r="A123" s="2" t="s">
        <v>1041</v>
      </c>
      <c r="B123" s="2" t="s">
        <v>1042</v>
      </c>
      <c r="C123" s="2" t="s">
        <v>1042</v>
      </c>
      <c r="D123" s="2" t="s">
        <v>218</v>
      </c>
      <c r="E123" s="2" t="s">
        <v>102</v>
      </c>
      <c r="F123" s="2" t="s">
        <v>1043</v>
      </c>
      <c r="G123" s="2" t="s">
        <v>73</v>
      </c>
      <c r="H123" s="2" t="s">
        <v>376</v>
      </c>
      <c r="I123" s="2" t="s">
        <v>336</v>
      </c>
      <c r="J123" s="15" t="n">
        <v>107</v>
      </c>
      <c r="K123" s="15" t="n">
        <v>107</v>
      </c>
      <c r="L123" s="2" t="s">
        <v>1044</v>
      </c>
      <c r="M123" s="2" t="str">
        <f aca="false">IF(J123="","",IF(J123&lt;=4,"≤4",IF(J123&lt;=10,"5–10",IF(J123&lt;=20,"11–20",IF(J123&lt;=50,"21–50",IF(J123&lt;=250,"51–250","251+"))))))</f>
        <v>51–250</v>
      </c>
      <c r="N123" s="2" t="s">
        <v>1045</v>
      </c>
      <c r="O123" s="2" t="s">
        <v>1046</v>
      </c>
      <c r="P123" s="2"/>
      <c r="Q123" s="2"/>
      <c r="R123" s="16"/>
      <c r="S123" s="2"/>
      <c r="T123" s="16"/>
      <c r="U123" s="2"/>
      <c r="V123" s="16"/>
      <c r="W123" s="2"/>
      <c r="X123" s="2"/>
      <c r="Y123" s="2"/>
      <c r="Z123" s="17" t="s">
        <v>451</v>
      </c>
    </row>
    <row r="124" customFormat="false" ht="23.85" hidden="false" customHeight="false" outlineLevel="0" collapsed="false">
      <c r="A124" s="2" t="s">
        <v>1047</v>
      </c>
      <c r="B124" s="2" t="s">
        <v>1048</v>
      </c>
      <c r="C124" s="2" t="s">
        <v>1049</v>
      </c>
      <c r="D124" s="2" t="s">
        <v>218</v>
      </c>
      <c r="E124" s="2" t="s">
        <v>102</v>
      </c>
      <c r="F124" s="2" t="s">
        <v>1050</v>
      </c>
      <c r="G124" s="2" t="s">
        <v>73</v>
      </c>
      <c r="H124" s="2" t="s">
        <v>495</v>
      </c>
      <c r="I124" s="2" t="s">
        <v>336</v>
      </c>
      <c r="J124" s="15" t="n">
        <v>115</v>
      </c>
      <c r="K124" s="15" t="n">
        <v>114</v>
      </c>
      <c r="L124" s="2" t="s">
        <v>1051</v>
      </c>
      <c r="M124" s="2" t="str">
        <f aca="false">IF(J124="","",IF(J124&lt;=4,"≤4",IF(J124&lt;=10,"5–10",IF(J124&lt;=20,"11–20",IF(J124&lt;=50,"21–50",IF(J124&lt;=250,"51–250","251+"))))))</f>
        <v>51–250</v>
      </c>
      <c r="N124" s="2" t="s">
        <v>670</v>
      </c>
      <c r="O124" s="2" t="s">
        <v>1052</v>
      </c>
      <c r="P124" s="2"/>
      <c r="Q124" s="2"/>
      <c r="R124" s="16"/>
      <c r="S124" s="2"/>
      <c r="T124" s="16"/>
      <c r="U124" s="2"/>
      <c r="V124" s="16"/>
      <c r="W124" s="2" t="s">
        <v>1053</v>
      </c>
      <c r="X124" s="2"/>
      <c r="Y124" s="2" t="s">
        <v>1054</v>
      </c>
      <c r="Z124" s="17" t="s">
        <v>543</v>
      </c>
    </row>
    <row r="125" customFormat="false" ht="23.85" hidden="false" customHeight="false" outlineLevel="0" collapsed="false">
      <c r="A125" s="2" t="s">
        <v>1055</v>
      </c>
      <c r="B125" s="2" t="s">
        <v>1056</v>
      </c>
      <c r="C125" s="2" t="s">
        <v>1056</v>
      </c>
      <c r="D125" s="2" t="s">
        <v>213</v>
      </c>
      <c r="E125" s="2" t="s">
        <v>100</v>
      </c>
      <c r="F125" s="2" t="s">
        <v>1057</v>
      </c>
      <c r="G125" s="2" t="s">
        <v>73</v>
      </c>
      <c r="H125" s="2" t="s">
        <v>702</v>
      </c>
      <c r="I125" s="2" t="s">
        <v>336</v>
      </c>
      <c r="J125" s="15" t="n">
        <v>36</v>
      </c>
      <c r="K125" s="15"/>
      <c r="L125" s="2"/>
      <c r="M125" s="2" t="str">
        <f aca="false">IF(J125="","",IF(J125&lt;=4,"≤4",IF(J125&lt;=10,"5–10",IF(J125&lt;=20,"11–20",IF(J125&lt;=50,"21–50",IF(J125&lt;=250,"51–250","251+"))))))</f>
        <v>21–50</v>
      </c>
      <c r="N125" s="2"/>
      <c r="O125" s="2"/>
      <c r="P125" s="2"/>
      <c r="Q125" s="2"/>
      <c r="R125" s="16"/>
      <c r="S125" s="2"/>
      <c r="T125" s="16"/>
      <c r="U125" s="2"/>
      <c r="V125" s="16"/>
      <c r="W125" s="2"/>
      <c r="X125" s="2"/>
      <c r="Y125" s="2"/>
      <c r="Z125" s="17" t="s">
        <v>451</v>
      </c>
    </row>
    <row r="126" customFormat="false" ht="15" hidden="false" customHeight="false" outlineLevel="0" collapsed="false">
      <c r="A126" s="2" t="s">
        <v>1058</v>
      </c>
      <c r="B126" s="2" t="s">
        <v>1059</v>
      </c>
      <c r="C126" s="2" t="s">
        <v>1060</v>
      </c>
      <c r="D126" s="2" t="s">
        <v>181</v>
      </c>
      <c r="E126" s="2" t="s">
        <v>100</v>
      </c>
      <c r="F126" s="2" t="s">
        <v>1061</v>
      </c>
      <c r="G126" s="2" t="s">
        <v>73</v>
      </c>
      <c r="H126" s="2" t="s">
        <v>1062</v>
      </c>
      <c r="I126" s="2" t="s">
        <v>336</v>
      </c>
      <c r="J126" s="15" t="n">
        <v>26</v>
      </c>
      <c r="K126" s="15"/>
      <c r="L126" s="2"/>
      <c r="M126" s="2" t="str">
        <f aca="false">IF(J126="","",IF(J126&lt;=4,"≤4",IF(J126&lt;=10,"5–10",IF(J126&lt;=20,"11–20",IF(J126&lt;=50,"21–50",IF(J126&lt;=250,"51–250","251+"))))))</f>
        <v>21–50</v>
      </c>
      <c r="N126" s="2"/>
      <c r="O126" s="2"/>
      <c r="P126" s="2"/>
      <c r="Q126" s="2"/>
      <c r="R126" s="16"/>
      <c r="S126" s="2"/>
      <c r="T126" s="16"/>
      <c r="U126" s="2"/>
      <c r="V126" s="16"/>
      <c r="W126" s="2"/>
      <c r="X126" s="2"/>
      <c r="Y126" s="2"/>
      <c r="Z126" s="17" t="s">
        <v>451</v>
      </c>
    </row>
    <row r="127" customFormat="false" ht="23.85" hidden="false" customHeight="false" outlineLevel="0" collapsed="false">
      <c r="A127" s="2" t="s">
        <v>1063</v>
      </c>
      <c r="B127" s="2" t="s">
        <v>1064</v>
      </c>
      <c r="C127" s="2" t="s">
        <v>1065</v>
      </c>
      <c r="D127" s="2" t="s">
        <v>213</v>
      </c>
      <c r="E127" s="2" t="s">
        <v>103</v>
      </c>
      <c r="F127" s="2" t="s">
        <v>1066</v>
      </c>
      <c r="G127" s="2" t="s">
        <v>73</v>
      </c>
      <c r="H127" s="2" t="s">
        <v>1067</v>
      </c>
      <c r="I127" s="2"/>
      <c r="J127" s="15" t="n">
        <v>11</v>
      </c>
      <c r="K127" s="15" t="n">
        <v>0</v>
      </c>
      <c r="L127" s="2"/>
      <c r="M127" s="2" t="str">
        <f aca="false">IF(J127="","",IF(J127&lt;=4,"≤4",IF(J127&lt;=10,"5–10",IF(J127&lt;=20,"11–20",IF(J127&lt;=50,"21–50",IF(J127&lt;=250,"51–250","251+"))))))</f>
        <v>11–20</v>
      </c>
      <c r="N127" s="2"/>
      <c r="O127" s="2"/>
      <c r="P127" s="2"/>
      <c r="Q127" s="2"/>
      <c r="R127" s="16"/>
      <c r="S127" s="2"/>
      <c r="T127" s="16"/>
      <c r="U127" s="2"/>
      <c r="V127" s="16"/>
      <c r="W127" s="2"/>
      <c r="X127" s="2"/>
      <c r="Y127" s="2"/>
      <c r="Z127" s="17" t="s">
        <v>451</v>
      </c>
    </row>
    <row r="128" customFormat="false" ht="23.85" hidden="false" customHeight="false" outlineLevel="0" collapsed="false">
      <c r="A128" s="2" t="s">
        <v>1068</v>
      </c>
      <c r="B128" s="2" t="s">
        <v>1069</v>
      </c>
      <c r="C128" s="2" t="s">
        <v>1070</v>
      </c>
      <c r="D128" s="2" t="s">
        <v>187</v>
      </c>
      <c r="E128" s="2" t="s">
        <v>103</v>
      </c>
      <c r="F128" s="2" t="s">
        <v>1071</v>
      </c>
      <c r="G128" s="2" t="s">
        <v>73</v>
      </c>
      <c r="H128" s="2" t="s">
        <v>1072</v>
      </c>
      <c r="I128" s="2" t="s">
        <v>336</v>
      </c>
      <c r="J128" s="15" t="n">
        <v>1104</v>
      </c>
      <c r="K128" s="15"/>
      <c r="L128" s="2" t="s">
        <v>1015</v>
      </c>
      <c r="M128" s="2" t="str">
        <f aca="false">IF(J128="","",IF(J128&lt;=4,"≤4",IF(J128&lt;=10,"5–10",IF(J128&lt;=20,"11–20",IF(J128&lt;=50,"21–50",IF(J128&lt;=250,"51–250","251+"))))))</f>
        <v>251+</v>
      </c>
      <c r="N128" s="2" t="s">
        <v>1073</v>
      </c>
      <c r="O128" s="2"/>
      <c r="P128" s="2"/>
      <c r="Q128" s="2"/>
      <c r="R128" s="16"/>
      <c r="S128" s="2"/>
      <c r="T128" s="16"/>
      <c r="U128" s="2"/>
      <c r="V128" s="16"/>
      <c r="W128" s="2"/>
      <c r="X128" s="2"/>
      <c r="Y128" s="2" t="s">
        <v>1074</v>
      </c>
      <c r="Z128" s="17" t="s">
        <v>451</v>
      </c>
    </row>
    <row r="129" customFormat="false" ht="23.85" hidden="false" customHeight="false" outlineLevel="0" collapsed="false">
      <c r="A129" s="2" t="s">
        <v>1075</v>
      </c>
      <c r="B129" s="2" t="s">
        <v>1076</v>
      </c>
      <c r="C129" s="2" t="s">
        <v>1076</v>
      </c>
      <c r="D129" s="2" t="s">
        <v>200</v>
      </c>
      <c r="E129" s="2" t="s">
        <v>100</v>
      </c>
      <c r="F129" s="2" t="s">
        <v>1077</v>
      </c>
      <c r="G129" s="2" t="s">
        <v>73</v>
      </c>
      <c r="H129" s="2" t="s">
        <v>1078</v>
      </c>
      <c r="I129" s="2" t="s">
        <v>364</v>
      </c>
      <c r="J129" s="15" t="n">
        <v>75</v>
      </c>
      <c r="K129" s="15" t="n">
        <v>5</v>
      </c>
      <c r="L129" s="2" t="s">
        <v>1079</v>
      </c>
      <c r="M129" s="2" t="str">
        <f aca="false">IF(J129="","",IF(J129&lt;=4,"≤4",IF(J129&lt;=10,"5–10",IF(J129&lt;=20,"11–20",IF(J129&lt;=50,"21–50",IF(J129&lt;=250,"51–250","251+"))))))</f>
        <v>51–250</v>
      </c>
      <c r="N129" s="2"/>
      <c r="O129" s="2"/>
      <c r="P129" s="2"/>
      <c r="Q129" s="2"/>
      <c r="R129" s="16"/>
      <c r="S129" s="2"/>
      <c r="T129" s="16"/>
      <c r="U129" s="2"/>
      <c r="V129" s="16"/>
      <c r="W129" s="2"/>
      <c r="X129" s="2"/>
      <c r="Y129" s="2"/>
      <c r="Z129" s="17" t="s">
        <v>543</v>
      </c>
    </row>
    <row r="130" customFormat="false" ht="23.85" hidden="false" customHeight="false" outlineLevel="0" collapsed="false">
      <c r="A130" s="2" t="s">
        <v>1080</v>
      </c>
      <c r="B130" s="2" t="s">
        <v>1081</v>
      </c>
      <c r="C130" s="2" t="s">
        <v>1082</v>
      </c>
      <c r="D130" s="2" t="s">
        <v>179</v>
      </c>
      <c r="E130" s="2" t="s">
        <v>106</v>
      </c>
      <c r="F130" s="2" t="s">
        <v>1083</v>
      </c>
      <c r="G130" s="2" t="s">
        <v>73</v>
      </c>
      <c r="H130" s="2" t="s">
        <v>495</v>
      </c>
      <c r="I130" s="2" t="s">
        <v>336</v>
      </c>
      <c r="J130" s="15" t="n">
        <v>70</v>
      </c>
      <c r="K130" s="15" t="n">
        <v>70</v>
      </c>
      <c r="L130" s="2" t="s">
        <v>1044</v>
      </c>
      <c r="M130" s="2" t="str">
        <f aca="false">IF(J130="","",IF(J130&lt;=4,"≤4",IF(J130&lt;=10,"5–10",IF(J130&lt;=20,"11–20",IF(J130&lt;=50,"21–50",IF(J130&lt;=250,"51–250","251+"))))))</f>
        <v>51–250</v>
      </c>
      <c r="N130" s="2"/>
      <c r="O130" s="2"/>
      <c r="P130" s="2"/>
      <c r="Q130" s="2"/>
      <c r="R130" s="16"/>
      <c r="S130" s="2"/>
      <c r="T130" s="16"/>
      <c r="U130" s="2"/>
      <c r="V130" s="16"/>
      <c r="W130" s="2"/>
      <c r="X130" s="2"/>
      <c r="Y130" s="2"/>
      <c r="Z130" s="17" t="s">
        <v>451</v>
      </c>
    </row>
    <row r="131" customFormat="false" ht="23.85" hidden="false" customHeight="false" outlineLevel="0" collapsed="false">
      <c r="A131" s="2" t="s">
        <v>1084</v>
      </c>
      <c r="B131" s="2" t="s">
        <v>1085</v>
      </c>
      <c r="C131" s="2" t="s">
        <v>1085</v>
      </c>
      <c r="D131" s="2" t="s">
        <v>211</v>
      </c>
      <c r="E131" s="2" t="s">
        <v>103</v>
      </c>
      <c r="F131" s="2" t="s">
        <v>1086</v>
      </c>
      <c r="G131" s="2" t="s">
        <v>73</v>
      </c>
      <c r="H131" s="2" t="s">
        <v>702</v>
      </c>
      <c r="I131" s="2" t="s">
        <v>364</v>
      </c>
      <c r="J131" s="15" t="n">
        <v>20</v>
      </c>
      <c r="K131" s="15" t="n">
        <v>2</v>
      </c>
      <c r="L131" s="2" t="s">
        <v>850</v>
      </c>
      <c r="M131" s="2" t="str">
        <f aca="false">IF(J131="","",IF(J131&lt;=4,"≤4",IF(J131&lt;=10,"5–10",IF(J131&lt;=20,"11–20",IF(J131&lt;=50,"21–50",IF(J131&lt;=250,"51–250","251+"))))))</f>
        <v>11–20</v>
      </c>
      <c r="N131" s="2" t="s">
        <v>1087</v>
      </c>
      <c r="O131" s="2"/>
      <c r="P131" s="2"/>
      <c r="Q131" s="2"/>
      <c r="R131" s="16"/>
      <c r="S131" s="2"/>
      <c r="T131" s="16"/>
      <c r="U131" s="2"/>
      <c r="V131" s="16"/>
      <c r="W131" s="2"/>
      <c r="X131" s="2"/>
      <c r="Y131" s="2"/>
      <c r="Z131" s="17" t="s">
        <v>543</v>
      </c>
    </row>
    <row r="132" customFormat="false" ht="23.85" hidden="false" customHeight="false" outlineLevel="0" collapsed="false">
      <c r="A132" s="2" t="s">
        <v>1088</v>
      </c>
      <c r="B132" s="2" t="s">
        <v>1089</v>
      </c>
      <c r="C132" s="2" t="s">
        <v>1090</v>
      </c>
      <c r="D132" s="2" t="s">
        <v>191</v>
      </c>
      <c r="E132" s="2" t="s">
        <v>104</v>
      </c>
      <c r="F132" s="2" t="s">
        <v>1091</v>
      </c>
      <c r="G132" s="2" t="s">
        <v>73</v>
      </c>
      <c r="H132" s="2" t="s">
        <v>1092</v>
      </c>
      <c r="I132" s="2" t="s">
        <v>997</v>
      </c>
      <c r="J132" s="15" t="n">
        <v>3491</v>
      </c>
      <c r="K132" s="15"/>
      <c r="L132" s="2" t="s">
        <v>1093</v>
      </c>
      <c r="M132" s="2" t="str">
        <f aca="false">IF(J132="","",IF(J132&lt;=4,"≤4",IF(J132&lt;=10,"5–10",IF(J132&lt;=20,"11–20",IF(J132&lt;=50,"21–50",IF(J132&lt;=250,"51–250","251+"))))))</f>
        <v>251+</v>
      </c>
      <c r="N132" s="2" t="s">
        <v>290</v>
      </c>
      <c r="O132" s="2"/>
      <c r="P132" s="2"/>
      <c r="Q132" s="2"/>
      <c r="R132" s="16"/>
      <c r="S132" s="2"/>
      <c r="T132" s="16"/>
      <c r="U132" s="2"/>
      <c r="V132" s="16"/>
      <c r="W132" s="2"/>
      <c r="X132" s="2"/>
      <c r="Y132" s="2" t="s">
        <v>1094</v>
      </c>
      <c r="Z132" s="17" t="s">
        <v>405</v>
      </c>
    </row>
    <row r="133" customFormat="false" ht="35.05" hidden="false" customHeight="false" outlineLevel="0" collapsed="false">
      <c r="A133" s="2" t="s">
        <v>1095</v>
      </c>
      <c r="B133" s="2" t="s">
        <v>1096</v>
      </c>
      <c r="C133" s="2" t="s">
        <v>1097</v>
      </c>
      <c r="D133" s="2" t="s">
        <v>206</v>
      </c>
      <c r="E133" s="2" t="s">
        <v>107</v>
      </c>
      <c r="F133" s="2" t="s">
        <v>1098</v>
      </c>
      <c r="G133" s="2" t="s">
        <v>73</v>
      </c>
      <c r="H133" s="2" t="s">
        <v>1099</v>
      </c>
      <c r="I133" s="2" t="s">
        <v>336</v>
      </c>
      <c r="J133" s="15" t="n">
        <v>1094</v>
      </c>
      <c r="K133" s="15"/>
      <c r="L133" s="2" t="s">
        <v>1100</v>
      </c>
      <c r="M133" s="2" t="str">
        <f aca="false">IF(J133="","",IF(J133&lt;=4,"≤4",IF(J133&lt;=10,"5–10",IF(J133&lt;=20,"11–20",IF(J133&lt;=50,"21–50",IF(J133&lt;=250,"51–250","251+"))))))</f>
        <v>251+</v>
      </c>
      <c r="N133" s="2" t="s">
        <v>422</v>
      </c>
      <c r="O133" s="2"/>
      <c r="P133" s="2"/>
      <c r="Q133" s="2"/>
      <c r="R133" s="16"/>
      <c r="S133" s="2"/>
      <c r="T133" s="16"/>
      <c r="U133" s="2"/>
      <c r="V133" s="16"/>
      <c r="W133" s="2"/>
      <c r="X133" s="2"/>
      <c r="Y133" s="2" t="s">
        <v>1101</v>
      </c>
      <c r="Z133" s="17" t="s">
        <v>405</v>
      </c>
    </row>
    <row r="134" customFormat="false" ht="23.85" hidden="false" customHeight="false" outlineLevel="0" collapsed="false">
      <c r="A134" s="2" t="s">
        <v>1102</v>
      </c>
      <c r="B134" s="2" t="s">
        <v>1103</v>
      </c>
      <c r="C134" s="2" t="s">
        <v>1104</v>
      </c>
      <c r="D134" s="2" t="s">
        <v>216</v>
      </c>
      <c r="E134" s="2" t="s">
        <v>107</v>
      </c>
      <c r="F134" s="2" t="s">
        <v>1105</v>
      </c>
      <c r="G134" s="2" t="s">
        <v>73</v>
      </c>
      <c r="H134" s="2" t="s">
        <v>1099</v>
      </c>
      <c r="I134" s="2" t="s">
        <v>336</v>
      </c>
      <c r="J134" s="15" t="n">
        <v>915</v>
      </c>
      <c r="K134" s="15"/>
      <c r="L134" s="2" t="s">
        <v>1106</v>
      </c>
      <c r="M134" s="2" t="str">
        <f aca="false">IF(J134="","",IF(J134&lt;=4,"≤4",IF(J134&lt;=10,"5–10",IF(J134&lt;=20,"11–20",IF(J134&lt;=50,"21–50",IF(J134&lt;=250,"51–250","251+"))))))</f>
        <v>251+</v>
      </c>
      <c r="N134" s="2" t="s">
        <v>1107</v>
      </c>
      <c r="O134" s="2"/>
      <c r="P134" s="2"/>
      <c r="Q134" s="2"/>
      <c r="R134" s="16"/>
      <c r="S134" s="2"/>
      <c r="T134" s="16"/>
      <c r="U134" s="2"/>
      <c r="V134" s="16"/>
      <c r="W134" s="2"/>
      <c r="X134" s="2"/>
      <c r="Y134" s="2"/>
      <c r="Z134" s="17" t="s">
        <v>405</v>
      </c>
    </row>
    <row r="135" customFormat="false" ht="23.85" hidden="false" customHeight="false" outlineLevel="0" collapsed="false">
      <c r="A135" s="2" t="s">
        <v>1108</v>
      </c>
      <c r="B135" s="2" t="s">
        <v>1109</v>
      </c>
      <c r="C135" s="2" t="s">
        <v>1110</v>
      </c>
      <c r="D135" s="2" t="s">
        <v>183</v>
      </c>
      <c r="E135" s="2" t="s">
        <v>103</v>
      </c>
      <c r="F135" s="2" t="s">
        <v>1111</v>
      </c>
      <c r="G135" s="2" t="s">
        <v>73</v>
      </c>
      <c r="H135" s="2" t="s">
        <v>1112</v>
      </c>
      <c r="I135" s="2" t="s">
        <v>336</v>
      </c>
      <c r="J135" s="15" t="n">
        <v>672</v>
      </c>
      <c r="K135" s="15" t="n">
        <v>68</v>
      </c>
      <c r="L135" s="2" t="s">
        <v>1113</v>
      </c>
      <c r="M135" s="2" t="str">
        <f aca="false">IF(J135="","",IF(J135&lt;=4,"≤4",IF(J135&lt;=10,"5–10",IF(J135&lt;=20,"11–20",IF(J135&lt;=50,"21–50",IF(J135&lt;=250,"51–250","251+"))))))</f>
        <v>251+</v>
      </c>
      <c r="N135" s="2" t="s">
        <v>1114</v>
      </c>
      <c r="O135" s="2"/>
      <c r="P135" s="2"/>
      <c r="Q135" s="2"/>
      <c r="R135" s="16"/>
      <c r="S135" s="2"/>
      <c r="T135" s="16"/>
      <c r="U135" s="2"/>
      <c r="V135" s="16"/>
      <c r="W135" s="2"/>
      <c r="X135" s="2"/>
      <c r="Y135" s="2" t="s">
        <v>1115</v>
      </c>
      <c r="Z135" s="17" t="s">
        <v>405</v>
      </c>
    </row>
    <row r="136" customFormat="false" ht="35.05" hidden="false" customHeight="false" outlineLevel="0" collapsed="false">
      <c r="A136" s="2" t="s">
        <v>1116</v>
      </c>
      <c r="B136" s="2" t="s">
        <v>1117</v>
      </c>
      <c r="C136" s="2" t="s">
        <v>1118</v>
      </c>
      <c r="D136" s="2" t="s">
        <v>196</v>
      </c>
      <c r="E136" s="2" t="s">
        <v>106</v>
      </c>
      <c r="F136" s="2" t="s">
        <v>1119</v>
      </c>
      <c r="G136" s="2" t="s">
        <v>73</v>
      </c>
      <c r="H136" s="2" t="s">
        <v>1120</v>
      </c>
      <c r="I136" s="2" t="s">
        <v>336</v>
      </c>
      <c r="J136" s="15" t="n">
        <v>513</v>
      </c>
      <c r="K136" s="15" t="n">
        <v>98</v>
      </c>
      <c r="L136" s="2" t="s">
        <v>1121</v>
      </c>
      <c r="M136" s="2" t="str">
        <f aca="false">IF(J136="","",IF(J136&lt;=4,"≤4",IF(J136&lt;=10,"5–10",IF(J136&lt;=20,"11–20",IF(J136&lt;=50,"21–50",IF(J136&lt;=250,"51–250","251+"))))))</f>
        <v>251+</v>
      </c>
      <c r="N136" s="2" t="s">
        <v>1122</v>
      </c>
      <c r="O136" s="2" t="s">
        <v>1123</v>
      </c>
      <c r="P136" s="2"/>
      <c r="Q136" s="2"/>
      <c r="R136" s="16"/>
      <c r="S136" s="2"/>
      <c r="T136" s="16"/>
      <c r="U136" s="2"/>
      <c r="V136" s="16"/>
      <c r="W136" s="2"/>
      <c r="X136" s="2"/>
      <c r="Y136" s="2" t="s">
        <v>1124</v>
      </c>
      <c r="Z136" s="17" t="s">
        <v>543</v>
      </c>
    </row>
    <row r="137" customFormat="false" ht="23.85" hidden="false" customHeight="false" outlineLevel="0" collapsed="false">
      <c r="A137" s="2" t="s">
        <v>1125</v>
      </c>
      <c r="B137" s="2" t="s">
        <v>1126</v>
      </c>
      <c r="C137" s="2" t="s">
        <v>1126</v>
      </c>
      <c r="D137" s="2" t="s">
        <v>211</v>
      </c>
      <c r="E137" s="2" t="s">
        <v>103</v>
      </c>
      <c r="F137" s="2" t="s">
        <v>1127</v>
      </c>
      <c r="G137" s="2" t="s">
        <v>73</v>
      </c>
      <c r="H137" s="2" t="s">
        <v>1128</v>
      </c>
      <c r="I137" s="2" t="s">
        <v>336</v>
      </c>
      <c r="J137" s="15" t="n">
        <v>500</v>
      </c>
      <c r="K137" s="15" t="n">
        <v>78</v>
      </c>
      <c r="L137" s="2" t="s">
        <v>1129</v>
      </c>
      <c r="M137" s="2" t="str">
        <f aca="false">IF(J137="","",IF(J137&lt;=4,"≤4",IF(J137&lt;=10,"5–10",IF(J137&lt;=20,"11–20",IF(J137&lt;=50,"21–50",IF(J137&lt;=250,"51–250","251+"))))))</f>
        <v>251+</v>
      </c>
      <c r="N137" s="2"/>
      <c r="O137" s="2"/>
      <c r="P137" s="2"/>
      <c r="Q137" s="2"/>
      <c r="R137" s="16"/>
      <c r="S137" s="2"/>
      <c r="T137" s="16"/>
      <c r="U137" s="2"/>
      <c r="V137" s="16"/>
      <c r="W137" s="2"/>
      <c r="X137" s="2"/>
      <c r="Y137" s="2"/>
      <c r="Z137" s="17" t="s">
        <v>405</v>
      </c>
    </row>
    <row r="138" customFormat="false" ht="15" hidden="false" customHeight="false" outlineLevel="0" collapsed="false">
      <c r="A138" s="2" t="s">
        <v>1130</v>
      </c>
      <c r="B138" s="2" t="s">
        <v>1131</v>
      </c>
      <c r="C138" s="2" t="s">
        <v>1132</v>
      </c>
      <c r="D138" s="2" t="s">
        <v>213</v>
      </c>
      <c r="E138" s="2" t="s">
        <v>103</v>
      </c>
      <c r="F138" s="2" t="s">
        <v>1133</v>
      </c>
      <c r="G138" s="2" t="s">
        <v>73</v>
      </c>
      <c r="H138" s="2" t="s">
        <v>1067</v>
      </c>
      <c r="I138" s="2"/>
      <c r="J138" s="15" t="n">
        <v>124</v>
      </c>
      <c r="K138" s="15"/>
      <c r="L138" s="2"/>
      <c r="M138" s="2" t="str">
        <f aca="false">IF(J138="","",IF(J138&lt;=4,"≤4",IF(J138&lt;=10,"5–10",IF(J138&lt;=20,"11–20",IF(J138&lt;=50,"21–50",IF(J138&lt;=250,"51–250","251+"))))))</f>
        <v>51–250</v>
      </c>
      <c r="N138" s="2"/>
      <c r="O138" s="2"/>
      <c r="P138" s="2"/>
      <c r="Q138" s="2"/>
      <c r="R138" s="16"/>
      <c r="S138" s="2"/>
      <c r="T138" s="16"/>
      <c r="U138" s="2"/>
      <c r="V138" s="16"/>
      <c r="W138" s="2"/>
      <c r="X138" s="2"/>
      <c r="Y138" s="2"/>
      <c r="Z138" s="17" t="s">
        <v>405</v>
      </c>
    </row>
    <row r="139" customFormat="false" ht="15" hidden="false" customHeight="false" outlineLevel="0" collapsed="false">
      <c r="A139" s="2" t="s">
        <v>1134</v>
      </c>
      <c r="B139" s="2" t="s">
        <v>1135</v>
      </c>
      <c r="C139" s="2" t="s">
        <v>1136</v>
      </c>
      <c r="D139" s="2" t="s">
        <v>211</v>
      </c>
      <c r="E139" s="2" t="s">
        <v>103</v>
      </c>
      <c r="F139" s="2" t="s">
        <v>1137</v>
      </c>
      <c r="G139" s="2" t="s">
        <v>73</v>
      </c>
      <c r="H139" s="2" t="s">
        <v>1138</v>
      </c>
      <c r="I139" s="2" t="s">
        <v>336</v>
      </c>
      <c r="J139" s="15" t="n">
        <v>94</v>
      </c>
      <c r="K139" s="15"/>
      <c r="L139" s="2"/>
      <c r="M139" s="2" t="str">
        <f aca="false">IF(J139="","",IF(J139&lt;=4,"≤4",IF(J139&lt;=10,"5–10",IF(J139&lt;=20,"11–20",IF(J139&lt;=50,"21–50",IF(J139&lt;=250,"51–250","251+"))))))</f>
        <v>51–250</v>
      </c>
      <c r="N139" s="2"/>
      <c r="O139" s="2"/>
      <c r="P139" s="2"/>
      <c r="Q139" s="2"/>
      <c r="R139" s="16"/>
      <c r="S139" s="2"/>
      <c r="T139" s="16"/>
      <c r="U139" s="2"/>
      <c r="V139" s="16"/>
      <c r="W139" s="2"/>
      <c r="X139" s="2"/>
      <c r="Y139" s="2"/>
      <c r="Z139" s="17" t="s">
        <v>405</v>
      </c>
    </row>
    <row r="140" customFormat="false" ht="23.85" hidden="false" customHeight="false" outlineLevel="0" collapsed="false">
      <c r="A140" s="2" t="s">
        <v>1139</v>
      </c>
      <c r="B140" s="2" t="s">
        <v>1140</v>
      </c>
      <c r="C140" s="2" t="s">
        <v>1140</v>
      </c>
      <c r="D140" s="2" t="s">
        <v>182</v>
      </c>
      <c r="E140" s="2" t="s">
        <v>108</v>
      </c>
      <c r="F140" s="2" t="s">
        <v>1141</v>
      </c>
      <c r="G140" s="2" t="s">
        <v>73</v>
      </c>
      <c r="H140" s="2" t="s">
        <v>1142</v>
      </c>
      <c r="I140" s="2" t="s">
        <v>336</v>
      </c>
      <c r="J140" s="15" t="n">
        <v>29</v>
      </c>
      <c r="K140" s="15" t="n">
        <v>6</v>
      </c>
      <c r="L140" s="2" t="s">
        <v>1143</v>
      </c>
      <c r="M140" s="2" t="str">
        <f aca="false">IF(J140="","",IF(J140&lt;=4,"≤4",IF(J140&lt;=10,"5–10",IF(J140&lt;=20,"11–20",IF(J140&lt;=50,"21–50",IF(J140&lt;=250,"51–250","251+"))))))</f>
        <v>21–50</v>
      </c>
      <c r="N140" s="2" t="s">
        <v>1144</v>
      </c>
      <c r="O140" s="2"/>
      <c r="P140" s="2"/>
      <c r="Q140" s="2"/>
      <c r="R140" s="16"/>
      <c r="S140" s="2"/>
      <c r="T140" s="16"/>
      <c r="U140" s="2"/>
      <c r="V140" s="16"/>
      <c r="W140" s="2"/>
      <c r="X140" s="2"/>
      <c r="Y140" s="2"/>
      <c r="Z140" s="17" t="s">
        <v>543</v>
      </c>
    </row>
    <row r="141" customFormat="false" ht="23.85" hidden="false" customHeight="false" outlineLevel="0" collapsed="false">
      <c r="A141" s="2" t="s">
        <v>1145</v>
      </c>
      <c r="B141" s="2" t="s">
        <v>1146</v>
      </c>
      <c r="C141" s="2" t="s">
        <v>1147</v>
      </c>
      <c r="D141" s="2" t="s">
        <v>190</v>
      </c>
      <c r="E141" s="2" t="s">
        <v>102</v>
      </c>
      <c r="F141" s="2" t="s">
        <v>1148</v>
      </c>
      <c r="G141" s="2" t="s">
        <v>73</v>
      </c>
      <c r="H141" s="2" t="s">
        <v>1149</v>
      </c>
      <c r="I141" s="2" t="s">
        <v>336</v>
      </c>
      <c r="J141" s="15" t="n">
        <v>28</v>
      </c>
      <c r="K141" s="15" t="n">
        <v>28</v>
      </c>
      <c r="L141" s="2"/>
      <c r="M141" s="2" t="str">
        <f aca="false">IF(J141="","",IF(J141&lt;=4,"≤4",IF(J141&lt;=10,"5–10",IF(J141&lt;=20,"11–20",IF(J141&lt;=50,"21–50",IF(J141&lt;=250,"51–250","251+"))))))</f>
        <v>21–50</v>
      </c>
      <c r="N141" s="2"/>
      <c r="O141" s="2"/>
      <c r="P141" s="2"/>
      <c r="Q141" s="2"/>
      <c r="R141" s="16"/>
      <c r="S141" s="2"/>
      <c r="T141" s="16"/>
      <c r="U141" s="2"/>
      <c r="V141" s="16"/>
      <c r="W141" s="2"/>
      <c r="X141" s="2"/>
      <c r="Y141" s="2"/>
      <c r="Z141" s="17" t="s">
        <v>405</v>
      </c>
    </row>
    <row r="142" customFormat="false" ht="23.85" hidden="false" customHeight="false" outlineLevel="0" collapsed="false">
      <c r="A142" s="2" t="s">
        <v>1150</v>
      </c>
      <c r="B142" s="2" t="s">
        <v>1151</v>
      </c>
      <c r="C142" s="2" t="s">
        <v>1151</v>
      </c>
      <c r="D142" s="2" t="s">
        <v>181</v>
      </c>
      <c r="E142" s="2" t="s">
        <v>100</v>
      </c>
      <c r="F142" s="2" t="s">
        <v>1152</v>
      </c>
      <c r="G142" s="2" t="s">
        <v>73</v>
      </c>
      <c r="H142" s="2" t="s">
        <v>702</v>
      </c>
      <c r="I142" s="2" t="s">
        <v>364</v>
      </c>
      <c r="J142" s="15" t="n">
        <v>32</v>
      </c>
      <c r="K142" s="15" t="n">
        <v>5</v>
      </c>
      <c r="L142" s="2" t="s">
        <v>1153</v>
      </c>
      <c r="M142" s="2" t="str">
        <f aca="false">IF(J142="","",IF(J142&lt;=4,"≤4",IF(J142&lt;=10,"5–10",IF(J142&lt;=20,"11–20",IF(J142&lt;=50,"21–50",IF(J142&lt;=250,"51–250","251+"))))))</f>
        <v>21–50</v>
      </c>
      <c r="N142" s="2" t="s">
        <v>1154</v>
      </c>
      <c r="O142" s="2"/>
      <c r="P142" s="2"/>
      <c r="Q142" s="2"/>
      <c r="R142" s="16"/>
      <c r="S142" s="2"/>
      <c r="T142" s="16"/>
      <c r="U142" s="2"/>
      <c r="V142" s="16"/>
      <c r="W142" s="2" t="s">
        <v>1155</v>
      </c>
      <c r="X142" s="2"/>
      <c r="Y142" s="2"/>
      <c r="Z142" s="17" t="s">
        <v>543</v>
      </c>
    </row>
    <row r="143" customFormat="false" ht="23.85" hidden="false" customHeight="false" outlineLevel="0" collapsed="false">
      <c r="A143" s="2" t="s">
        <v>1156</v>
      </c>
      <c r="B143" s="2" t="s">
        <v>1157</v>
      </c>
      <c r="C143" s="2" t="s">
        <v>1158</v>
      </c>
      <c r="D143" s="2" t="s">
        <v>200</v>
      </c>
      <c r="E143" s="2" t="s">
        <v>100</v>
      </c>
      <c r="F143" s="2" t="s">
        <v>1159</v>
      </c>
      <c r="G143" s="2" t="s">
        <v>73</v>
      </c>
      <c r="H143" s="2" t="s">
        <v>1160</v>
      </c>
      <c r="I143" s="2"/>
      <c r="J143" s="15" t="n">
        <v>20</v>
      </c>
      <c r="K143" s="15"/>
      <c r="L143" s="2"/>
      <c r="M143" s="2" t="str">
        <f aca="false">IF(J143="","",IF(J143&lt;=4,"≤4",IF(J143&lt;=10,"5–10",IF(J143&lt;=20,"11–20",IF(J143&lt;=50,"21–50",IF(J143&lt;=250,"51–250","251+"))))))</f>
        <v>11–20</v>
      </c>
      <c r="N143" s="2"/>
      <c r="O143" s="2"/>
      <c r="P143" s="2"/>
      <c r="Q143" s="2"/>
      <c r="R143" s="16"/>
      <c r="S143" s="2"/>
      <c r="T143" s="16"/>
      <c r="U143" s="2"/>
      <c r="V143" s="16"/>
      <c r="W143" s="2"/>
      <c r="X143" s="2"/>
      <c r="Y143" s="2"/>
      <c r="Z143" s="17" t="s">
        <v>405</v>
      </c>
    </row>
    <row r="144" customFormat="false" ht="23.85" hidden="false" customHeight="false" outlineLevel="0" collapsed="false">
      <c r="A144" s="2" t="s">
        <v>1161</v>
      </c>
      <c r="B144" s="2" t="s">
        <v>1162</v>
      </c>
      <c r="C144" s="2" t="s">
        <v>1163</v>
      </c>
      <c r="D144" s="2" t="s">
        <v>196</v>
      </c>
      <c r="E144" s="2" t="s">
        <v>106</v>
      </c>
      <c r="F144" s="2" t="s">
        <v>1164</v>
      </c>
      <c r="G144" s="2" t="s">
        <v>72</v>
      </c>
      <c r="H144" s="2" t="s">
        <v>1138</v>
      </c>
      <c r="I144" s="2" t="s">
        <v>336</v>
      </c>
      <c r="J144" s="15" t="n">
        <v>18</v>
      </c>
      <c r="K144" s="15"/>
      <c r="L144" s="2"/>
      <c r="M144" s="2" t="str">
        <f aca="false">IF(J144="","",IF(J144&lt;=4,"≤4",IF(J144&lt;=10,"5–10",IF(J144&lt;=20,"11–20",IF(J144&lt;=50,"21–50",IF(J144&lt;=250,"51–250","251+"))))))</f>
        <v>11–20</v>
      </c>
      <c r="N144" s="2"/>
      <c r="O144" s="2"/>
      <c r="P144" s="2"/>
      <c r="Q144" s="2"/>
      <c r="R144" s="16"/>
      <c r="S144" s="2"/>
      <c r="T144" s="16"/>
      <c r="U144" s="2"/>
      <c r="V144" s="16"/>
      <c r="W144" s="2"/>
      <c r="X144" s="2"/>
      <c r="Y144" s="2"/>
      <c r="Z144" s="17" t="s">
        <v>405</v>
      </c>
    </row>
    <row r="145" customFormat="false" ht="23.85" hidden="false" customHeight="false" outlineLevel="0" collapsed="false">
      <c r="A145" s="2" t="s">
        <v>1165</v>
      </c>
      <c r="B145" s="2" t="s">
        <v>1166</v>
      </c>
      <c r="C145" s="2" t="s">
        <v>1167</v>
      </c>
      <c r="D145" s="2" t="s">
        <v>211</v>
      </c>
      <c r="E145" s="2" t="s">
        <v>103</v>
      </c>
      <c r="F145" s="2" t="s">
        <v>1168</v>
      </c>
      <c r="G145" s="2" t="s">
        <v>73</v>
      </c>
      <c r="H145" s="2" t="s">
        <v>1169</v>
      </c>
      <c r="I145" s="2" t="s">
        <v>336</v>
      </c>
      <c r="J145" s="15" t="n">
        <v>1105</v>
      </c>
      <c r="K145" s="15"/>
      <c r="L145" s="2" t="s">
        <v>1015</v>
      </c>
      <c r="M145" s="2" t="str">
        <f aca="false">IF(J145="","",IF(J145&lt;=4,"≤4",IF(J145&lt;=10,"5–10",IF(J145&lt;=20,"11–20",IF(J145&lt;=50,"21–50",IF(J145&lt;=250,"51–250","251+"))))))</f>
        <v>251+</v>
      </c>
      <c r="N145" s="2" t="s">
        <v>1170</v>
      </c>
      <c r="O145" s="2"/>
      <c r="P145" s="2"/>
      <c r="Q145" s="2"/>
      <c r="R145" s="16"/>
      <c r="S145" s="2"/>
      <c r="T145" s="16"/>
      <c r="U145" s="2"/>
      <c r="V145" s="16"/>
      <c r="W145" s="2"/>
      <c r="X145" s="2"/>
      <c r="Y145" s="2" t="s">
        <v>1171</v>
      </c>
      <c r="Z145" s="17" t="s">
        <v>339</v>
      </c>
    </row>
    <row r="146" customFormat="false" ht="23.85" hidden="false" customHeight="false" outlineLevel="0" collapsed="false">
      <c r="A146" s="2" t="s">
        <v>1172</v>
      </c>
      <c r="B146" s="2" t="s">
        <v>1173</v>
      </c>
      <c r="C146" s="2" t="s">
        <v>1173</v>
      </c>
      <c r="D146" s="2" t="s">
        <v>183</v>
      </c>
      <c r="E146" s="2" t="s">
        <v>103</v>
      </c>
      <c r="F146" s="2" t="s">
        <v>1174</v>
      </c>
      <c r="G146" s="2" t="s">
        <v>73</v>
      </c>
      <c r="H146" s="2" t="s">
        <v>1175</v>
      </c>
      <c r="I146" s="2" t="s">
        <v>336</v>
      </c>
      <c r="J146" s="15" t="n">
        <v>524</v>
      </c>
      <c r="K146" s="15" t="n">
        <v>84</v>
      </c>
      <c r="L146" s="2" t="s">
        <v>1176</v>
      </c>
      <c r="M146" s="2" t="str">
        <f aca="false">IF(J146="","",IF(J146&lt;=4,"≤4",IF(J146&lt;=10,"5–10",IF(J146&lt;=20,"11–20",IF(J146&lt;=50,"21–50",IF(J146&lt;=250,"51–250","251+"))))))</f>
        <v>251+</v>
      </c>
      <c r="N146" s="2" t="s">
        <v>1177</v>
      </c>
      <c r="O146" s="2"/>
      <c r="P146" s="2"/>
      <c r="Q146" s="2"/>
      <c r="R146" s="16"/>
      <c r="S146" s="2"/>
      <c r="T146" s="16"/>
      <c r="U146" s="2"/>
      <c r="V146" s="16"/>
      <c r="W146" s="2"/>
      <c r="X146" s="2"/>
      <c r="Y146" s="2"/>
      <c r="Z146" s="17" t="s">
        <v>543</v>
      </c>
    </row>
    <row r="147" customFormat="false" ht="23.85" hidden="false" customHeight="false" outlineLevel="0" collapsed="false">
      <c r="A147" s="2" t="s">
        <v>1178</v>
      </c>
      <c r="B147" s="2" t="s">
        <v>1179</v>
      </c>
      <c r="C147" s="2" t="s">
        <v>1179</v>
      </c>
      <c r="D147" s="2" t="s">
        <v>211</v>
      </c>
      <c r="E147" s="2" t="s">
        <v>103</v>
      </c>
      <c r="F147" s="2" t="s">
        <v>1180</v>
      </c>
      <c r="G147" s="2" t="s">
        <v>73</v>
      </c>
      <c r="H147" s="2" t="s">
        <v>1181</v>
      </c>
      <c r="I147" s="2" t="s">
        <v>336</v>
      </c>
      <c r="J147" s="15" t="n">
        <v>495</v>
      </c>
      <c r="K147" s="15" t="n">
        <v>66</v>
      </c>
      <c r="L147" s="2" t="s">
        <v>1182</v>
      </c>
      <c r="M147" s="2" t="str">
        <f aca="false">IF(J147="","",IF(J147&lt;=4,"≤4",IF(J147&lt;=10,"5–10",IF(J147&lt;=20,"11–20",IF(J147&lt;=50,"21–50",IF(J147&lt;=250,"51–250","251+"))))))</f>
        <v>251+</v>
      </c>
      <c r="N147" s="2" t="s">
        <v>1183</v>
      </c>
      <c r="O147" s="2"/>
      <c r="P147" s="2"/>
      <c r="Q147" s="2"/>
      <c r="R147" s="16"/>
      <c r="S147" s="2"/>
      <c r="T147" s="16"/>
      <c r="U147" s="2"/>
      <c r="V147" s="16"/>
      <c r="W147" s="2"/>
      <c r="X147" s="2"/>
      <c r="Y147" s="2" t="s">
        <v>1184</v>
      </c>
      <c r="Z147" s="17" t="s">
        <v>543</v>
      </c>
    </row>
    <row r="148" customFormat="false" ht="23.85" hidden="false" customHeight="false" outlineLevel="0" collapsed="false">
      <c r="A148" s="2" t="s">
        <v>1185</v>
      </c>
      <c r="B148" s="2" t="s">
        <v>1186</v>
      </c>
      <c r="C148" s="2" t="s">
        <v>1187</v>
      </c>
      <c r="D148" s="2" t="s">
        <v>196</v>
      </c>
      <c r="E148" s="2" t="s">
        <v>106</v>
      </c>
      <c r="F148" s="2" t="s">
        <v>1188</v>
      </c>
      <c r="G148" s="2" t="s">
        <v>73</v>
      </c>
      <c r="H148" s="2" t="s">
        <v>1189</v>
      </c>
      <c r="I148" s="2" t="s">
        <v>336</v>
      </c>
      <c r="J148" s="15" t="n">
        <v>189</v>
      </c>
      <c r="K148" s="15" t="n">
        <v>32</v>
      </c>
      <c r="L148" s="2" t="s">
        <v>1190</v>
      </c>
      <c r="M148" s="2" t="str">
        <f aca="false">IF(J148="","",IF(J148&lt;=4,"≤4",IF(J148&lt;=10,"5–10",IF(J148&lt;=20,"11–20",IF(J148&lt;=50,"21–50",IF(J148&lt;=250,"51–250","251+"))))))</f>
        <v>51–250</v>
      </c>
      <c r="N148" s="2" t="s">
        <v>1191</v>
      </c>
      <c r="O148" s="2"/>
      <c r="P148" s="2"/>
      <c r="Q148" s="2"/>
      <c r="R148" s="16"/>
      <c r="S148" s="2"/>
      <c r="T148" s="16"/>
      <c r="U148" s="2"/>
      <c r="V148" s="16"/>
      <c r="W148" s="2"/>
      <c r="X148" s="2"/>
      <c r="Y148" s="2"/>
      <c r="Z148" s="17" t="s">
        <v>543</v>
      </c>
    </row>
    <row r="149" customFormat="false" ht="23.85" hidden="false" customHeight="false" outlineLevel="0" collapsed="false">
      <c r="A149" s="2" t="s">
        <v>1192</v>
      </c>
      <c r="B149" s="2" t="s">
        <v>1193</v>
      </c>
      <c r="C149" s="2" t="s">
        <v>1194</v>
      </c>
      <c r="D149" s="2" t="s">
        <v>218</v>
      </c>
      <c r="E149" s="2" t="s">
        <v>102</v>
      </c>
      <c r="F149" s="2" t="s">
        <v>1195</v>
      </c>
      <c r="G149" s="2" t="s">
        <v>73</v>
      </c>
      <c r="H149" s="2" t="s">
        <v>495</v>
      </c>
      <c r="I149" s="2" t="s">
        <v>336</v>
      </c>
      <c r="J149" s="15" t="n">
        <v>94</v>
      </c>
      <c r="K149" s="15" t="n">
        <v>94</v>
      </c>
      <c r="L149" s="2"/>
      <c r="M149" s="2" t="str">
        <f aca="false">IF(J149="","",IF(J149&lt;=4,"≤4",IF(J149&lt;=10,"5–10",IF(J149&lt;=20,"11–20",IF(J149&lt;=50,"21–50",IF(J149&lt;=250,"51–250","251+"))))))</f>
        <v>51–250</v>
      </c>
      <c r="N149" s="2"/>
      <c r="O149" s="2"/>
      <c r="P149" s="2"/>
      <c r="Q149" s="2"/>
      <c r="R149" s="16"/>
      <c r="S149" s="2"/>
      <c r="T149" s="16"/>
      <c r="U149" s="2"/>
      <c r="V149" s="16"/>
      <c r="W149" s="2"/>
      <c r="X149" s="2"/>
      <c r="Y149" s="2" t="s">
        <v>1196</v>
      </c>
      <c r="Z149" s="17" t="s">
        <v>339</v>
      </c>
    </row>
    <row r="150" customFormat="false" ht="23.85" hidden="false" customHeight="false" outlineLevel="0" collapsed="false">
      <c r="A150" s="2" t="s">
        <v>1197</v>
      </c>
      <c r="B150" s="2" t="s">
        <v>1198</v>
      </c>
      <c r="C150" s="2" t="s">
        <v>1198</v>
      </c>
      <c r="D150" s="2" t="s">
        <v>213</v>
      </c>
      <c r="E150" s="2" t="s">
        <v>102</v>
      </c>
      <c r="F150" s="2" t="s">
        <v>1199</v>
      </c>
      <c r="G150" s="2" t="s">
        <v>73</v>
      </c>
      <c r="H150" s="2" t="s">
        <v>702</v>
      </c>
      <c r="I150" s="2" t="s">
        <v>364</v>
      </c>
      <c r="J150" s="15" t="n">
        <v>88</v>
      </c>
      <c r="K150" s="15" t="n">
        <v>13</v>
      </c>
      <c r="L150" s="2" t="s">
        <v>1200</v>
      </c>
      <c r="M150" s="2" t="str">
        <f aca="false">IF(J150="","",IF(J150&lt;=4,"≤4",IF(J150&lt;=10,"5–10",IF(J150&lt;=20,"11–20",IF(J150&lt;=50,"21–50",IF(J150&lt;=250,"51–250","251+"))))))</f>
        <v>51–250</v>
      </c>
      <c r="N150" s="2" t="s">
        <v>1201</v>
      </c>
      <c r="O150" s="2"/>
      <c r="P150" s="2"/>
      <c r="Q150" s="2"/>
      <c r="R150" s="16"/>
      <c r="S150" s="2"/>
      <c r="T150" s="16"/>
      <c r="U150" s="2"/>
      <c r="V150" s="16"/>
      <c r="W150" s="2"/>
      <c r="X150" s="2"/>
      <c r="Y150" s="2"/>
      <c r="Z150" s="17" t="s">
        <v>543</v>
      </c>
    </row>
    <row r="151" customFormat="false" ht="23.85" hidden="false" customHeight="false" outlineLevel="0" collapsed="false">
      <c r="A151" s="2" t="s">
        <v>1202</v>
      </c>
      <c r="B151" s="2" t="s">
        <v>1203</v>
      </c>
      <c r="C151" s="2" t="s">
        <v>1204</v>
      </c>
      <c r="D151" s="2" t="s">
        <v>202</v>
      </c>
      <c r="E151" s="2" t="s">
        <v>108</v>
      </c>
      <c r="F151" s="2" t="s">
        <v>1205</v>
      </c>
      <c r="G151" s="2" t="s">
        <v>73</v>
      </c>
      <c r="H151" s="2" t="s">
        <v>1142</v>
      </c>
      <c r="I151" s="2" t="s">
        <v>336</v>
      </c>
      <c r="J151" s="15" t="n">
        <v>69</v>
      </c>
      <c r="K151" s="15" t="n">
        <v>17</v>
      </c>
      <c r="L151" s="2" t="s">
        <v>1206</v>
      </c>
      <c r="M151" s="2" t="str">
        <f aca="false">IF(J151="","",IF(J151&lt;=4,"≤4",IF(J151&lt;=10,"5–10",IF(J151&lt;=20,"11–20",IF(J151&lt;=50,"21–50",IF(J151&lt;=250,"51–250","251+"))))))</f>
        <v>51–250</v>
      </c>
      <c r="N151" s="2" t="s">
        <v>1207</v>
      </c>
      <c r="O151" s="2"/>
      <c r="P151" s="2"/>
      <c r="Q151" s="2"/>
      <c r="R151" s="16"/>
      <c r="S151" s="2"/>
      <c r="T151" s="16"/>
      <c r="U151" s="2"/>
      <c r="V151" s="16"/>
      <c r="W151" s="2"/>
      <c r="X151" s="2"/>
      <c r="Y151" s="2"/>
      <c r="Z151" s="17" t="s">
        <v>543</v>
      </c>
    </row>
    <row r="152" customFormat="false" ht="23.85" hidden="false" customHeight="false" outlineLevel="0" collapsed="false">
      <c r="A152" s="2" t="s">
        <v>1208</v>
      </c>
      <c r="B152" s="2" t="s">
        <v>1209</v>
      </c>
      <c r="C152" s="2" t="s">
        <v>1210</v>
      </c>
      <c r="D152" s="2" t="s">
        <v>211</v>
      </c>
      <c r="E152" s="2" t="s">
        <v>103</v>
      </c>
      <c r="F152" s="2" t="s">
        <v>1211</v>
      </c>
      <c r="G152" s="2" t="s">
        <v>73</v>
      </c>
      <c r="H152" s="2" t="s">
        <v>702</v>
      </c>
      <c r="I152" s="2" t="s">
        <v>364</v>
      </c>
      <c r="J152" s="15" t="n">
        <v>57</v>
      </c>
      <c r="K152" s="15" t="n">
        <v>13</v>
      </c>
      <c r="L152" s="2" t="s">
        <v>1212</v>
      </c>
      <c r="M152" s="2" t="str">
        <f aca="false">IF(J152="","",IF(J152&lt;=4,"≤4",IF(J152&lt;=10,"5–10",IF(J152&lt;=20,"11–20",IF(J152&lt;=50,"21–50",IF(J152&lt;=250,"51–250","251+"))))))</f>
        <v>51–250</v>
      </c>
      <c r="N152" s="2" t="s">
        <v>1144</v>
      </c>
      <c r="O152" s="2"/>
      <c r="P152" s="2"/>
      <c r="Q152" s="2"/>
      <c r="R152" s="16"/>
      <c r="S152" s="2"/>
      <c r="T152" s="16"/>
      <c r="U152" s="2"/>
      <c r="V152" s="16"/>
      <c r="W152" s="2"/>
      <c r="X152" s="2"/>
      <c r="Y152" s="2"/>
      <c r="Z152" s="17" t="s">
        <v>543</v>
      </c>
    </row>
    <row r="153" customFormat="false" ht="15" hidden="false" customHeight="false" outlineLevel="0" collapsed="false">
      <c r="A153" s="2" t="s">
        <v>1213</v>
      </c>
      <c r="B153" s="2" t="s">
        <v>1214</v>
      </c>
      <c r="C153" s="2" t="s">
        <v>1215</v>
      </c>
      <c r="D153" s="2" t="s">
        <v>213</v>
      </c>
      <c r="E153" s="2" t="s">
        <v>103</v>
      </c>
      <c r="F153" s="2" t="s">
        <v>1216</v>
      </c>
      <c r="G153" s="2" t="s">
        <v>73</v>
      </c>
      <c r="H153" s="2" t="s">
        <v>1067</v>
      </c>
      <c r="I153" s="2"/>
      <c r="J153" s="15" t="n">
        <v>45</v>
      </c>
      <c r="K153" s="15" t="n">
        <v>9</v>
      </c>
      <c r="L153" s="2"/>
      <c r="M153" s="2" t="str">
        <f aca="false">IF(J153="","",IF(J153&lt;=4,"≤4",IF(J153&lt;=10,"5–10",IF(J153&lt;=20,"11–20",IF(J153&lt;=50,"21–50",IF(J153&lt;=250,"51–250","251+"))))))</f>
        <v>21–50</v>
      </c>
      <c r="N153" s="2"/>
      <c r="O153" s="2"/>
      <c r="P153" s="2"/>
      <c r="Q153" s="2"/>
      <c r="R153" s="16"/>
      <c r="S153" s="2"/>
      <c r="T153" s="16"/>
      <c r="U153" s="2"/>
      <c r="V153" s="16"/>
      <c r="W153" s="2"/>
      <c r="X153" s="2"/>
      <c r="Y153" s="2"/>
      <c r="Z153" s="17" t="s">
        <v>339</v>
      </c>
    </row>
    <row r="154" customFormat="false" ht="23.85" hidden="false" customHeight="false" outlineLevel="0" collapsed="false">
      <c r="A154" s="2" t="s">
        <v>1217</v>
      </c>
      <c r="B154" s="2" t="s">
        <v>1218</v>
      </c>
      <c r="C154" s="2" t="s">
        <v>1218</v>
      </c>
      <c r="D154" s="2" t="s">
        <v>182</v>
      </c>
      <c r="E154" s="2" t="s">
        <v>108</v>
      </c>
      <c r="F154" s="2" t="s">
        <v>1219</v>
      </c>
      <c r="G154" s="2" t="s">
        <v>73</v>
      </c>
      <c r="H154" s="2" t="s">
        <v>1142</v>
      </c>
      <c r="I154" s="2" t="s">
        <v>364</v>
      </c>
      <c r="J154" s="15" t="n">
        <v>40</v>
      </c>
      <c r="K154" s="15" t="n">
        <v>12</v>
      </c>
      <c r="L154" s="2" t="s">
        <v>1220</v>
      </c>
      <c r="M154" s="2" t="str">
        <f aca="false">IF(J154="","",IF(J154&lt;=4,"≤4",IF(J154&lt;=10,"5–10",IF(J154&lt;=20,"11–20",IF(J154&lt;=50,"21–50",IF(J154&lt;=250,"51–250","251+"))))))</f>
        <v>21–50</v>
      </c>
      <c r="N154" s="2" t="s">
        <v>1221</v>
      </c>
      <c r="O154" s="2"/>
      <c r="P154" s="2"/>
      <c r="Q154" s="2"/>
      <c r="R154" s="16"/>
      <c r="S154" s="2"/>
      <c r="T154" s="16"/>
      <c r="U154" s="2"/>
      <c r="V154" s="16"/>
      <c r="W154" s="2"/>
      <c r="X154" s="2"/>
      <c r="Y154" s="2"/>
      <c r="Z154" s="17" t="s">
        <v>543</v>
      </c>
    </row>
    <row r="155" customFormat="false" ht="23.85" hidden="false" customHeight="false" outlineLevel="0" collapsed="false">
      <c r="A155" s="2" t="s">
        <v>1222</v>
      </c>
      <c r="B155" s="2" t="s">
        <v>1223</v>
      </c>
      <c r="C155" s="2" t="s">
        <v>1224</v>
      </c>
      <c r="D155" s="2" t="s">
        <v>180</v>
      </c>
      <c r="E155" s="2" t="s">
        <v>105</v>
      </c>
      <c r="F155" s="2" t="s">
        <v>1225</v>
      </c>
      <c r="G155" s="2" t="s">
        <v>73</v>
      </c>
      <c r="H155" s="2" t="s">
        <v>702</v>
      </c>
      <c r="I155" s="2" t="s">
        <v>364</v>
      </c>
      <c r="J155" s="15" t="n">
        <v>30</v>
      </c>
      <c r="K155" s="15" t="n">
        <v>5</v>
      </c>
      <c r="L155" s="2" t="s">
        <v>1153</v>
      </c>
      <c r="M155" s="2" t="str">
        <f aca="false">IF(J155="","",IF(J155&lt;=4,"≤4",IF(J155&lt;=10,"5–10",IF(J155&lt;=20,"11–20",IF(J155&lt;=50,"21–50",IF(J155&lt;=250,"51–250","251+"))))))</f>
        <v>21–50</v>
      </c>
      <c r="N155" s="2"/>
      <c r="O155" s="2"/>
      <c r="P155" s="2"/>
      <c r="Q155" s="2"/>
      <c r="R155" s="16"/>
      <c r="S155" s="2"/>
      <c r="T155" s="16"/>
      <c r="U155" s="2"/>
      <c r="V155" s="16"/>
      <c r="W155" s="2" t="s">
        <v>1226</v>
      </c>
      <c r="X155" s="2"/>
      <c r="Y155" s="2"/>
      <c r="Z155" s="17" t="s">
        <v>543</v>
      </c>
    </row>
    <row r="156" customFormat="false" ht="23.85" hidden="false" customHeight="false" outlineLevel="0" collapsed="false">
      <c r="A156" s="2" t="s">
        <v>1227</v>
      </c>
      <c r="B156" s="2" t="s">
        <v>1228</v>
      </c>
      <c r="C156" s="2" t="s">
        <v>1229</v>
      </c>
      <c r="D156" s="2" t="s">
        <v>204</v>
      </c>
      <c r="E156" s="2" t="s">
        <v>99</v>
      </c>
      <c r="F156" s="2" t="s">
        <v>1230</v>
      </c>
      <c r="G156" s="2" t="s">
        <v>73</v>
      </c>
      <c r="H156" s="2" t="s">
        <v>1067</v>
      </c>
      <c r="I156" s="2" t="s">
        <v>364</v>
      </c>
      <c r="J156" s="15" t="n">
        <v>24</v>
      </c>
      <c r="K156" s="15" t="n">
        <v>3</v>
      </c>
      <c r="L156" s="2" t="s">
        <v>946</v>
      </c>
      <c r="M156" s="2" t="str">
        <f aca="false">IF(J156="","",IF(J156&lt;=4,"≤4",IF(J156&lt;=10,"5–10",IF(J156&lt;=20,"11–20",IF(J156&lt;=50,"21–50",IF(J156&lt;=250,"51–250","251+"))))))</f>
        <v>21–50</v>
      </c>
      <c r="N156" s="2" t="s">
        <v>1231</v>
      </c>
      <c r="O156" s="2"/>
      <c r="P156" s="2"/>
      <c r="Q156" s="2"/>
      <c r="R156" s="16"/>
      <c r="S156" s="2"/>
      <c r="T156" s="16"/>
      <c r="U156" s="2"/>
      <c r="V156" s="16"/>
      <c r="W156" s="2"/>
      <c r="X156" s="2"/>
      <c r="Y156" s="2"/>
      <c r="Z156" s="17" t="s">
        <v>543</v>
      </c>
    </row>
    <row r="157" customFormat="false" ht="15" hidden="false" customHeight="false" outlineLevel="0" collapsed="false">
      <c r="A157" s="2" t="s">
        <v>1232</v>
      </c>
      <c r="B157" s="2" t="s">
        <v>1233</v>
      </c>
      <c r="C157" s="2" t="s">
        <v>1233</v>
      </c>
      <c r="D157" s="2" t="s">
        <v>211</v>
      </c>
      <c r="E157" s="2" t="s">
        <v>103</v>
      </c>
      <c r="F157" s="2" t="s">
        <v>1234</v>
      </c>
      <c r="G157" s="2" t="s">
        <v>73</v>
      </c>
      <c r="H157" s="2" t="s">
        <v>1235</v>
      </c>
      <c r="I157" s="2"/>
      <c r="J157" s="15" t="n">
        <v>22</v>
      </c>
      <c r="K157" s="15"/>
      <c r="L157" s="2"/>
      <c r="M157" s="2" t="str">
        <f aca="false">IF(J157="","",IF(J157&lt;=4,"≤4",IF(J157&lt;=10,"5–10",IF(J157&lt;=20,"11–20",IF(J157&lt;=50,"21–50",IF(J157&lt;=250,"51–250","251+"))))))</f>
        <v>21–50</v>
      </c>
      <c r="N157" s="2"/>
      <c r="O157" s="2"/>
      <c r="P157" s="2"/>
      <c r="Q157" s="2"/>
      <c r="R157" s="16"/>
      <c r="S157" s="2"/>
      <c r="T157" s="16"/>
      <c r="U157" s="2"/>
      <c r="V157" s="16"/>
      <c r="W157" s="2"/>
      <c r="X157" s="2"/>
      <c r="Y157" s="2"/>
      <c r="Z157" s="17" t="s">
        <v>339</v>
      </c>
    </row>
    <row r="158" customFormat="false" ht="35.05" hidden="false" customHeight="false" outlineLevel="0" collapsed="false">
      <c r="A158" s="2" t="s">
        <v>1236</v>
      </c>
      <c r="B158" s="2" t="s">
        <v>1237</v>
      </c>
      <c r="C158" s="2" t="s">
        <v>1238</v>
      </c>
      <c r="D158" s="2" t="s">
        <v>191</v>
      </c>
      <c r="E158" s="2" t="s">
        <v>104</v>
      </c>
      <c r="F158" s="2" t="s">
        <v>1239</v>
      </c>
      <c r="G158" s="2" t="s">
        <v>73</v>
      </c>
      <c r="H158" s="2" t="s">
        <v>1240</v>
      </c>
      <c r="I158" s="2" t="s">
        <v>336</v>
      </c>
      <c r="J158" s="15" t="n">
        <v>5735</v>
      </c>
      <c r="K158" s="15" t="n">
        <v>287</v>
      </c>
      <c r="L158" s="2" t="s">
        <v>1241</v>
      </c>
      <c r="M158" s="2" t="str">
        <f aca="false">IF(J158="","",IF(J158&lt;=4,"≤4",IF(J158&lt;=10,"5–10",IF(J158&lt;=20,"11–20",IF(J158&lt;=50,"21–50",IF(J158&lt;=250,"51–250","251+"))))))</f>
        <v>251+</v>
      </c>
      <c r="N158" s="2" t="s">
        <v>286</v>
      </c>
      <c r="O158" s="2"/>
      <c r="P158" s="2"/>
      <c r="Q158" s="2"/>
      <c r="R158" s="16"/>
      <c r="S158" s="2"/>
      <c r="T158" s="16"/>
      <c r="U158" s="2"/>
      <c r="V158" s="16"/>
      <c r="W158" s="2"/>
      <c r="X158" s="2"/>
      <c r="Y158" s="2" t="s">
        <v>1242</v>
      </c>
      <c r="Z158" s="17" t="s">
        <v>543</v>
      </c>
    </row>
    <row r="159" customFormat="false" ht="23.85" hidden="false" customHeight="false" outlineLevel="0" collapsed="false">
      <c r="A159" s="2" t="s">
        <v>1243</v>
      </c>
      <c r="B159" s="2" t="s">
        <v>1244</v>
      </c>
      <c r="C159" s="2" t="s">
        <v>1245</v>
      </c>
      <c r="D159" s="2" t="s">
        <v>216</v>
      </c>
      <c r="E159" s="2" t="s">
        <v>107</v>
      </c>
      <c r="F159" s="2" t="s">
        <v>1246</v>
      </c>
      <c r="G159" s="2" t="s">
        <v>73</v>
      </c>
      <c r="H159" s="2" t="s">
        <v>996</v>
      </c>
      <c r="I159" s="2" t="s">
        <v>336</v>
      </c>
      <c r="J159" s="15" t="n">
        <v>1679</v>
      </c>
      <c r="K159" s="15" t="n">
        <v>168</v>
      </c>
      <c r="L159" s="2" t="s">
        <v>1247</v>
      </c>
      <c r="M159" s="2" t="str">
        <f aca="false">IF(J159="","",IF(J159&lt;=4,"≤4",IF(J159&lt;=10,"5–10",IF(J159&lt;=20,"11–20",IF(J159&lt;=50,"21–50",IF(J159&lt;=250,"51–250","251+"))))))</f>
        <v>251+</v>
      </c>
      <c r="N159" s="2" t="s">
        <v>1248</v>
      </c>
      <c r="O159" s="2"/>
      <c r="P159" s="2"/>
      <c r="Q159" s="2"/>
      <c r="R159" s="16"/>
      <c r="S159" s="2"/>
      <c r="T159" s="16"/>
      <c r="U159" s="2"/>
      <c r="V159" s="16"/>
      <c r="W159" s="2"/>
      <c r="X159" s="2"/>
      <c r="Y159" s="2" t="s">
        <v>1249</v>
      </c>
      <c r="Z159" s="17" t="s">
        <v>543</v>
      </c>
    </row>
    <row r="160" customFormat="false" ht="23.85" hidden="false" customHeight="false" outlineLevel="0" collapsed="false">
      <c r="A160" s="2" t="s">
        <v>1250</v>
      </c>
      <c r="B160" s="2" t="s">
        <v>1251</v>
      </c>
      <c r="C160" s="2" t="s">
        <v>1252</v>
      </c>
      <c r="D160" s="2" t="s">
        <v>178</v>
      </c>
      <c r="E160" s="2" t="s">
        <v>107</v>
      </c>
      <c r="F160" s="2" t="s">
        <v>1253</v>
      </c>
      <c r="G160" s="2" t="s">
        <v>73</v>
      </c>
      <c r="H160" s="2" t="s">
        <v>1254</v>
      </c>
      <c r="I160" s="2" t="s">
        <v>364</v>
      </c>
      <c r="J160" s="15" t="n">
        <v>585</v>
      </c>
      <c r="K160" s="15" t="n">
        <v>72</v>
      </c>
      <c r="L160" s="2" t="s">
        <v>1255</v>
      </c>
      <c r="M160" s="2" t="str">
        <f aca="false">IF(J160="","",IF(J160&lt;=4,"≤4",IF(J160&lt;=10,"5–10",IF(J160&lt;=20,"11–20",IF(J160&lt;=50,"21–50",IF(J160&lt;=250,"51–250","251+"))))))</f>
        <v>251+</v>
      </c>
      <c r="N160" s="2" t="s">
        <v>1256</v>
      </c>
      <c r="O160" s="2"/>
      <c r="P160" s="2"/>
      <c r="Q160" s="2"/>
      <c r="R160" s="16"/>
      <c r="S160" s="2"/>
      <c r="T160" s="16"/>
      <c r="U160" s="2"/>
      <c r="V160" s="16"/>
      <c r="W160" s="2"/>
      <c r="X160" s="2"/>
      <c r="Y160" s="2"/>
      <c r="Z160" s="17" t="s">
        <v>543</v>
      </c>
    </row>
    <row r="161" customFormat="false" ht="23.85" hidden="false" customHeight="false" outlineLevel="0" collapsed="false">
      <c r="A161" s="2" t="s">
        <v>1257</v>
      </c>
      <c r="B161" s="2" t="s">
        <v>1258</v>
      </c>
      <c r="C161" s="2" t="s">
        <v>1258</v>
      </c>
      <c r="D161" s="2" t="s">
        <v>183</v>
      </c>
      <c r="E161" s="2" t="s">
        <v>103</v>
      </c>
      <c r="F161" s="2" t="s">
        <v>1259</v>
      </c>
      <c r="G161" s="2" t="s">
        <v>73</v>
      </c>
      <c r="H161" s="2" t="s">
        <v>1260</v>
      </c>
      <c r="I161" s="2" t="s">
        <v>336</v>
      </c>
      <c r="J161" s="15" t="n">
        <v>392</v>
      </c>
      <c r="K161" s="15" t="n">
        <v>55</v>
      </c>
      <c r="L161" s="2" t="s">
        <v>1261</v>
      </c>
      <c r="M161" s="2" t="str">
        <f aca="false">IF(J161="","",IF(J161&lt;=4,"≤4",IF(J161&lt;=10,"5–10",IF(J161&lt;=20,"11–20",IF(J161&lt;=50,"21–50",IF(J161&lt;=250,"51–250","251+"))))))</f>
        <v>251+</v>
      </c>
      <c r="N161" s="2"/>
      <c r="O161" s="2"/>
      <c r="P161" s="2"/>
      <c r="Q161" s="2"/>
      <c r="R161" s="16"/>
      <c r="S161" s="2"/>
      <c r="T161" s="16"/>
      <c r="U161" s="2"/>
      <c r="V161" s="16"/>
      <c r="W161" s="2"/>
      <c r="X161" s="2"/>
      <c r="Y161" s="2"/>
      <c r="Z161" s="17" t="s">
        <v>543</v>
      </c>
    </row>
    <row r="162" customFormat="false" ht="23.85" hidden="false" customHeight="false" outlineLevel="0" collapsed="false">
      <c r="A162" s="2" t="s">
        <v>1262</v>
      </c>
      <c r="B162" s="2" t="s">
        <v>1263</v>
      </c>
      <c r="C162" s="2" t="s">
        <v>1264</v>
      </c>
      <c r="D162" s="2" t="s">
        <v>187</v>
      </c>
      <c r="E162" s="2" t="s">
        <v>103</v>
      </c>
      <c r="F162" s="2" t="s">
        <v>1265</v>
      </c>
      <c r="G162" s="2" t="s">
        <v>73</v>
      </c>
      <c r="H162" s="2" t="s">
        <v>1266</v>
      </c>
      <c r="I162" s="2" t="s">
        <v>336</v>
      </c>
      <c r="J162" s="15" t="n">
        <v>345</v>
      </c>
      <c r="K162" s="15" t="n">
        <v>69</v>
      </c>
      <c r="L162" s="2" t="s">
        <v>1267</v>
      </c>
      <c r="M162" s="2" t="str">
        <f aca="false">IF(J162="","",IF(J162&lt;=4,"≤4",IF(J162&lt;=10,"5–10",IF(J162&lt;=20,"11–20",IF(J162&lt;=50,"21–50",IF(J162&lt;=250,"51–250","251+"))))))</f>
        <v>251+</v>
      </c>
      <c r="N162" s="2" t="s">
        <v>1268</v>
      </c>
      <c r="O162" s="2"/>
      <c r="P162" s="2"/>
      <c r="Q162" s="2"/>
      <c r="R162" s="16"/>
      <c r="S162" s="2"/>
      <c r="T162" s="16"/>
      <c r="U162" s="2"/>
      <c r="V162" s="16"/>
      <c r="W162" s="2"/>
      <c r="X162" s="2"/>
      <c r="Y162" s="2"/>
      <c r="Z162" s="17" t="s">
        <v>543</v>
      </c>
    </row>
    <row r="163" customFormat="false" ht="23.85" hidden="false" customHeight="false" outlineLevel="0" collapsed="false">
      <c r="A163" s="2" t="s">
        <v>1269</v>
      </c>
      <c r="B163" s="2" t="s">
        <v>1270</v>
      </c>
      <c r="C163" s="2" t="s">
        <v>1270</v>
      </c>
      <c r="D163" s="2" t="s">
        <v>183</v>
      </c>
      <c r="E163" s="2" t="s">
        <v>103</v>
      </c>
      <c r="F163" s="2" t="s">
        <v>1271</v>
      </c>
      <c r="G163" s="2" t="s">
        <v>73</v>
      </c>
      <c r="H163" s="2" t="s">
        <v>702</v>
      </c>
      <c r="I163" s="2" t="s">
        <v>336</v>
      </c>
      <c r="J163" s="15" t="n">
        <v>320</v>
      </c>
      <c r="K163" s="15" t="n">
        <v>56</v>
      </c>
      <c r="L163" s="2" t="s">
        <v>1272</v>
      </c>
      <c r="M163" s="2" t="str">
        <f aca="false">IF(J163="","",IF(J163&lt;=4,"≤4",IF(J163&lt;=10,"5–10",IF(J163&lt;=20,"11–20",IF(J163&lt;=50,"21–50",IF(J163&lt;=250,"51–250","251+"))))))</f>
        <v>251+</v>
      </c>
      <c r="N163" s="2"/>
      <c r="O163" s="2"/>
      <c r="P163" s="2"/>
      <c r="Q163" s="2"/>
      <c r="R163" s="16"/>
      <c r="S163" s="2"/>
      <c r="T163" s="16"/>
      <c r="U163" s="2"/>
      <c r="V163" s="16"/>
      <c r="W163" s="2"/>
      <c r="X163" s="2"/>
      <c r="Y163" s="2"/>
      <c r="Z163" s="17" t="s">
        <v>543</v>
      </c>
    </row>
    <row r="164" customFormat="false" ht="23.85" hidden="false" customHeight="false" outlineLevel="0" collapsed="false">
      <c r="A164" s="2" t="s">
        <v>1273</v>
      </c>
      <c r="B164" s="2" t="s">
        <v>1274</v>
      </c>
      <c r="C164" s="2" t="s">
        <v>1274</v>
      </c>
      <c r="D164" s="2" t="s">
        <v>211</v>
      </c>
      <c r="E164" s="2" t="s">
        <v>103</v>
      </c>
      <c r="F164" s="2" t="s">
        <v>1275</v>
      </c>
      <c r="G164" s="2" t="s">
        <v>73</v>
      </c>
      <c r="H164" s="2" t="s">
        <v>1276</v>
      </c>
      <c r="I164" s="2" t="s">
        <v>336</v>
      </c>
      <c r="J164" s="15" t="n">
        <v>266</v>
      </c>
      <c r="K164" s="15" t="n">
        <v>109</v>
      </c>
      <c r="L164" s="2" t="s">
        <v>1277</v>
      </c>
      <c r="M164" s="2" t="str">
        <f aca="false">IF(J164="","",IF(J164&lt;=4,"≤4",IF(J164&lt;=10,"5–10",IF(J164&lt;=20,"11–20",IF(J164&lt;=50,"21–50",IF(J164&lt;=250,"51–250","251+"))))))</f>
        <v>251+</v>
      </c>
      <c r="N164" s="2"/>
      <c r="O164" s="2"/>
      <c r="P164" s="2"/>
      <c r="Q164" s="2"/>
      <c r="R164" s="16"/>
      <c r="S164" s="2"/>
      <c r="T164" s="16"/>
      <c r="U164" s="2"/>
      <c r="V164" s="16"/>
      <c r="W164" s="2"/>
      <c r="X164" s="2"/>
      <c r="Y164" s="2"/>
      <c r="Z164" s="17" t="s">
        <v>543</v>
      </c>
    </row>
    <row r="165" customFormat="false" ht="23.85" hidden="false" customHeight="false" outlineLevel="0" collapsed="false">
      <c r="A165" s="2" t="s">
        <v>1278</v>
      </c>
      <c r="B165" s="2" t="s">
        <v>1279</v>
      </c>
      <c r="C165" s="2" t="s">
        <v>1280</v>
      </c>
      <c r="D165" s="2" t="s">
        <v>211</v>
      </c>
      <c r="E165" s="2" t="s">
        <v>103</v>
      </c>
      <c r="F165" s="2" t="s">
        <v>1281</v>
      </c>
      <c r="G165" s="2" t="s">
        <v>73</v>
      </c>
      <c r="H165" s="2" t="s">
        <v>702</v>
      </c>
      <c r="I165" s="2" t="s">
        <v>336</v>
      </c>
      <c r="J165" s="15" t="n">
        <v>231</v>
      </c>
      <c r="K165" s="15" t="n">
        <v>34</v>
      </c>
      <c r="L165" s="2" t="s">
        <v>1282</v>
      </c>
      <c r="M165" s="2" t="str">
        <f aca="false">IF(J165="","",IF(J165&lt;=4,"≤4",IF(J165&lt;=10,"5–10",IF(J165&lt;=20,"11–20",IF(J165&lt;=50,"21–50",IF(J165&lt;=250,"51–250","251+"))))))</f>
        <v>51–250</v>
      </c>
      <c r="N165" s="2" t="s">
        <v>1283</v>
      </c>
      <c r="O165" s="2"/>
      <c r="P165" s="2"/>
      <c r="Q165" s="2"/>
      <c r="R165" s="16"/>
      <c r="S165" s="2"/>
      <c r="T165" s="16"/>
      <c r="U165" s="2"/>
      <c r="V165" s="16"/>
      <c r="W165" s="2"/>
      <c r="X165" s="2"/>
      <c r="Y165" s="2"/>
      <c r="Z165" s="17" t="s">
        <v>543</v>
      </c>
    </row>
    <row r="166" customFormat="false" ht="23.85" hidden="false" customHeight="false" outlineLevel="0" collapsed="false">
      <c r="A166" s="2" t="s">
        <v>1284</v>
      </c>
      <c r="B166" s="2" t="s">
        <v>1285</v>
      </c>
      <c r="C166" s="2" t="s">
        <v>1285</v>
      </c>
      <c r="D166" s="2" t="s">
        <v>218</v>
      </c>
      <c r="E166" s="2" t="s">
        <v>102</v>
      </c>
      <c r="F166" s="2" t="s">
        <v>1286</v>
      </c>
      <c r="G166" s="2" t="s">
        <v>73</v>
      </c>
      <c r="H166" s="2" t="s">
        <v>702</v>
      </c>
      <c r="I166" s="2" t="s">
        <v>336</v>
      </c>
      <c r="J166" s="15" t="n">
        <v>196</v>
      </c>
      <c r="K166" s="15" t="n">
        <v>29</v>
      </c>
      <c r="L166" s="2" t="s">
        <v>1287</v>
      </c>
      <c r="M166" s="2" t="str">
        <f aca="false">IF(J166="","",IF(J166&lt;=4,"≤4",IF(J166&lt;=10,"5–10",IF(J166&lt;=20,"11–20",IF(J166&lt;=50,"21–50",IF(J166&lt;=250,"51–250","251+"))))))</f>
        <v>51–250</v>
      </c>
      <c r="N166" s="2" t="s">
        <v>1288</v>
      </c>
      <c r="O166" s="2" t="s">
        <v>1289</v>
      </c>
      <c r="P166" s="2"/>
      <c r="Q166" s="2"/>
      <c r="R166" s="16"/>
      <c r="S166" s="2"/>
      <c r="T166" s="16"/>
      <c r="U166" s="2"/>
      <c r="V166" s="16"/>
      <c r="W166" s="2"/>
      <c r="X166" s="2"/>
      <c r="Y166" s="2"/>
      <c r="Z166" s="17" t="s">
        <v>543</v>
      </c>
    </row>
    <row r="167" customFormat="false" ht="23.85" hidden="false" customHeight="false" outlineLevel="0" collapsed="false">
      <c r="A167" s="2" t="s">
        <v>1290</v>
      </c>
      <c r="B167" s="2" t="s">
        <v>1291</v>
      </c>
      <c r="C167" s="2" t="s">
        <v>1292</v>
      </c>
      <c r="D167" s="2" t="s">
        <v>187</v>
      </c>
      <c r="E167" s="2" t="s">
        <v>102</v>
      </c>
      <c r="F167" s="2" t="s">
        <v>1293</v>
      </c>
      <c r="G167" s="2" t="s">
        <v>73</v>
      </c>
      <c r="H167" s="2" t="s">
        <v>702</v>
      </c>
      <c r="I167" s="2" t="s">
        <v>336</v>
      </c>
      <c r="J167" s="15" t="n">
        <v>184</v>
      </c>
      <c r="K167" s="15" t="n">
        <v>37</v>
      </c>
      <c r="L167" s="2" t="s">
        <v>1294</v>
      </c>
      <c r="M167" s="2" t="str">
        <f aca="false">IF(J167="","",IF(J167&lt;=4,"≤4",IF(J167&lt;=10,"5–10",IF(J167&lt;=20,"11–20",IF(J167&lt;=50,"21–50",IF(J167&lt;=250,"51–250","251+"))))))</f>
        <v>51–250</v>
      </c>
      <c r="N167" s="2" t="s">
        <v>1295</v>
      </c>
      <c r="O167" s="2"/>
      <c r="P167" s="2"/>
      <c r="Q167" s="2"/>
      <c r="R167" s="16"/>
      <c r="S167" s="2"/>
      <c r="T167" s="16"/>
      <c r="U167" s="2"/>
      <c r="V167" s="16"/>
      <c r="W167" s="2"/>
      <c r="X167" s="2"/>
      <c r="Y167" s="2"/>
      <c r="Z167" s="17" t="s">
        <v>543</v>
      </c>
    </row>
    <row r="168" customFormat="false" ht="23.85" hidden="false" customHeight="false" outlineLevel="0" collapsed="false">
      <c r="A168" s="2" t="s">
        <v>1296</v>
      </c>
      <c r="B168" s="2" t="s">
        <v>1297</v>
      </c>
      <c r="C168" s="2" t="s">
        <v>1297</v>
      </c>
      <c r="D168" s="2" t="s">
        <v>196</v>
      </c>
      <c r="E168" s="2" t="s">
        <v>106</v>
      </c>
      <c r="F168" s="2" t="s">
        <v>1298</v>
      </c>
      <c r="G168" s="2" t="s">
        <v>73</v>
      </c>
      <c r="H168" s="2" t="s">
        <v>702</v>
      </c>
      <c r="I168" s="2" t="s">
        <v>336</v>
      </c>
      <c r="J168" s="15" t="n">
        <v>168</v>
      </c>
      <c r="K168" s="15" t="n">
        <v>23</v>
      </c>
      <c r="L168" s="2" t="s">
        <v>1299</v>
      </c>
      <c r="M168" s="2" t="str">
        <f aca="false">IF(J168="","",IF(J168&lt;=4,"≤4",IF(J168&lt;=10,"5–10",IF(J168&lt;=20,"11–20",IF(J168&lt;=50,"21–50",IF(J168&lt;=250,"51–250","251+"))))))</f>
        <v>51–250</v>
      </c>
      <c r="N168" s="2" t="s">
        <v>576</v>
      </c>
      <c r="O168" s="2"/>
      <c r="P168" s="2"/>
      <c r="Q168" s="2"/>
      <c r="R168" s="16"/>
      <c r="S168" s="2"/>
      <c r="T168" s="16"/>
      <c r="U168" s="2"/>
      <c r="V168" s="16"/>
      <c r="W168" s="2"/>
      <c r="X168" s="2"/>
      <c r="Y168" s="2"/>
      <c r="Z168" s="17" t="s">
        <v>543</v>
      </c>
    </row>
    <row r="169" customFormat="false" ht="23.85" hidden="false" customHeight="false" outlineLevel="0" collapsed="false">
      <c r="A169" s="2" t="s">
        <v>1300</v>
      </c>
      <c r="B169" s="2" t="s">
        <v>1301</v>
      </c>
      <c r="C169" s="2" t="s">
        <v>1302</v>
      </c>
      <c r="D169" s="2" t="s">
        <v>196</v>
      </c>
      <c r="E169" s="2" t="s">
        <v>106</v>
      </c>
      <c r="F169" s="2" t="s">
        <v>1303</v>
      </c>
      <c r="G169" s="2" t="s">
        <v>73</v>
      </c>
      <c r="H169" s="2" t="s">
        <v>1189</v>
      </c>
      <c r="I169" s="2" t="s">
        <v>336</v>
      </c>
      <c r="J169" s="15" t="n">
        <v>149</v>
      </c>
      <c r="K169" s="15" t="n">
        <v>26</v>
      </c>
      <c r="L169" s="2" t="s">
        <v>1304</v>
      </c>
      <c r="M169" s="2" t="str">
        <f aca="false">IF(J169="","",IF(J169&lt;=4,"≤4",IF(J169&lt;=10,"5–10",IF(J169&lt;=20,"11–20",IF(J169&lt;=50,"21–50",IF(J169&lt;=250,"51–250","251+"))))))</f>
        <v>51–250</v>
      </c>
      <c r="N169" s="2" t="s">
        <v>1305</v>
      </c>
      <c r="O169" s="2"/>
      <c r="P169" s="2"/>
      <c r="Q169" s="2"/>
      <c r="R169" s="16"/>
      <c r="S169" s="2"/>
      <c r="T169" s="16"/>
      <c r="U169" s="2"/>
      <c r="V169" s="16"/>
      <c r="W169" s="2"/>
      <c r="X169" s="2"/>
      <c r="Y169" s="2" t="s">
        <v>1306</v>
      </c>
      <c r="Z169" s="17" t="s">
        <v>543</v>
      </c>
    </row>
    <row r="170" customFormat="false" ht="23.85" hidden="false" customHeight="false" outlineLevel="0" collapsed="false">
      <c r="A170" s="2" t="s">
        <v>1307</v>
      </c>
      <c r="B170" s="2" t="s">
        <v>1308</v>
      </c>
      <c r="C170" s="2" t="s">
        <v>1309</v>
      </c>
      <c r="D170" s="2" t="s">
        <v>183</v>
      </c>
      <c r="E170" s="2" t="s">
        <v>103</v>
      </c>
      <c r="F170" s="2" t="s">
        <v>1310</v>
      </c>
      <c r="G170" s="2" t="s">
        <v>73</v>
      </c>
      <c r="H170" s="2" t="s">
        <v>702</v>
      </c>
      <c r="I170" s="2" t="s">
        <v>336</v>
      </c>
      <c r="J170" s="15" t="n">
        <v>144</v>
      </c>
      <c r="K170" s="15" t="n">
        <v>19</v>
      </c>
      <c r="L170" s="2" t="s">
        <v>1311</v>
      </c>
      <c r="M170" s="2" t="str">
        <f aca="false">IF(J170="","",IF(J170&lt;=4,"≤4",IF(J170&lt;=10,"5–10",IF(J170&lt;=20,"11–20",IF(J170&lt;=50,"21–50",IF(J170&lt;=250,"51–250","251+"))))))</f>
        <v>51–250</v>
      </c>
      <c r="N170" s="2"/>
      <c r="O170" s="2"/>
      <c r="P170" s="2"/>
      <c r="Q170" s="2"/>
      <c r="R170" s="16"/>
      <c r="S170" s="2"/>
      <c r="T170" s="16"/>
      <c r="U170" s="2"/>
      <c r="V170" s="16"/>
      <c r="W170" s="2"/>
      <c r="X170" s="2"/>
      <c r="Y170" s="2"/>
      <c r="Z170" s="17" t="s">
        <v>543</v>
      </c>
    </row>
    <row r="171" customFormat="false" ht="23.85" hidden="false" customHeight="false" outlineLevel="0" collapsed="false">
      <c r="A171" s="2" t="s">
        <v>1312</v>
      </c>
      <c r="B171" s="2" t="s">
        <v>1313</v>
      </c>
      <c r="C171" s="2" t="s">
        <v>1313</v>
      </c>
      <c r="D171" s="2" t="s">
        <v>178</v>
      </c>
      <c r="E171" s="2" t="s">
        <v>107</v>
      </c>
      <c r="F171" s="2" t="s">
        <v>1314</v>
      </c>
      <c r="G171" s="2" t="s">
        <v>73</v>
      </c>
      <c r="H171" s="2" t="s">
        <v>702</v>
      </c>
      <c r="I171" s="2" t="s">
        <v>364</v>
      </c>
      <c r="J171" s="15" t="n">
        <v>122</v>
      </c>
      <c r="K171" s="15" t="n">
        <v>22</v>
      </c>
      <c r="L171" s="2" t="s">
        <v>1315</v>
      </c>
      <c r="M171" s="2" t="str">
        <f aca="false">IF(J171="","",IF(J171&lt;=4,"≤4",IF(J171&lt;=10,"5–10",IF(J171&lt;=20,"11–20",IF(J171&lt;=50,"21–50",IF(J171&lt;=250,"51–250","251+"))))))</f>
        <v>51–250</v>
      </c>
      <c r="N171" s="2"/>
      <c r="O171" s="2"/>
      <c r="P171" s="2"/>
      <c r="Q171" s="2"/>
      <c r="R171" s="16"/>
      <c r="S171" s="2"/>
      <c r="T171" s="16"/>
      <c r="U171" s="2"/>
      <c r="V171" s="16"/>
      <c r="W171" s="2"/>
      <c r="X171" s="2"/>
      <c r="Y171" s="2"/>
      <c r="Z171" s="17" t="s">
        <v>543</v>
      </c>
    </row>
    <row r="172" customFormat="false" ht="35.05" hidden="false" customHeight="false" outlineLevel="0" collapsed="false">
      <c r="A172" s="2" t="s">
        <v>1316</v>
      </c>
      <c r="B172" s="2" t="s">
        <v>1317</v>
      </c>
      <c r="C172" s="2" t="s">
        <v>1317</v>
      </c>
      <c r="D172" s="2" t="s">
        <v>211</v>
      </c>
      <c r="E172" s="2" t="s">
        <v>103</v>
      </c>
      <c r="F172" s="2" t="s">
        <v>1318</v>
      </c>
      <c r="G172" s="2" t="s">
        <v>73</v>
      </c>
      <c r="H172" s="2" t="s">
        <v>702</v>
      </c>
      <c r="I172" s="2" t="s">
        <v>336</v>
      </c>
      <c r="J172" s="15" t="n">
        <v>120</v>
      </c>
      <c r="K172" s="15" t="n">
        <v>18</v>
      </c>
      <c r="L172" s="2" t="s">
        <v>1319</v>
      </c>
      <c r="M172" s="2" t="str">
        <f aca="false">IF(J172="","",IF(J172&lt;=4,"≤4",IF(J172&lt;=10,"5–10",IF(J172&lt;=20,"11–20",IF(J172&lt;=50,"21–50",IF(J172&lt;=250,"51–250","251+"))))))</f>
        <v>51–250</v>
      </c>
      <c r="N172" s="2" t="s">
        <v>1320</v>
      </c>
      <c r="O172" s="2"/>
      <c r="P172" s="2"/>
      <c r="Q172" s="2"/>
      <c r="R172" s="16"/>
      <c r="S172" s="2"/>
      <c r="T172" s="16"/>
      <c r="U172" s="2"/>
      <c r="V172" s="16"/>
      <c r="W172" s="2" t="s">
        <v>1321</v>
      </c>
      <c r="X172" s="2"/>
      <c r="Y172" s="2"/>
      <c r="Z172" s="17" t="s">
        <v>543</v>
      </c>
    </row>
    <row r="173" customFormat="false" ht="23.85" hidden="false" customHeight="false" outlineLevel="0" collapsed="false">
      <c r="A173" s="2" t="s">
        <v>1322</v>
      </c>
      <c r="B173" s="2" t="s">
        <v>1323</v>
      </c>
      <c r="C173" s="2" t="s">
        <v>1323</v>
      </c>
      <c r="D173" s="2" t="s">
        <v>213</v>
      </c>
      <c r="E173" s="2" t="s">
        <v>102</v>
      </c>
      <c r="F173" s="2" t="s">
        <v>1324</v>
      </c>
      <c r="G173" s="2" t="s">
        <v>73</v>
      </c>
      <c r="H173" s="2" t="s">
        <v>702</v>
      </c>
      <c r="I173" s="2" t="s">
        <v>336</v>
      </c>
      <c r="J173" s="15" t="n">
        <v>111</v>
      </c>
      <c r="K173" s="15" t="n">
        <v>22</v>
      </c>
      <c r="L173" s="2" t="s">
        <v>1325</v>
      </c>
      <c r="M173" s="2" t="str">
        <f aca="false">IF(J173="","",IF(J173&lt;=4,"≤4",IF(J173&lt;=10,"5–10",IF(J173&lt;=20,"11–20",IF(J173&lt;=50,"21–50",IF(J173&lt;=250,"51–250","251+"))))))</f>
        <v>51–250</v>
      </c>
      <c r="N173" s="2" t="s">
        <v>1326</v>
      </c>
      <c r="O173" s="2"/>
      <c r="P173" s="2"/>
      <c r="Q173" s="2"/>
      <c r="R173" s="16"/>
      <c r="S173" s="2"/>
      <c r="T173" s="16"/>
      <c r="U173" s="2"/>
      <c r="V173" s="16"/>
      <c r="W173" s="2"/>
      <c r="X173" s="2"/>
      <c r="Y173" s="2"/>
      <c r="Z173" s="17" t="s">
        <v>543</v>
      </c>
    </row>
    <row r="174" customFormat="false" ht="23.85" hidden="false" customHeight="false" outlineLevel="0" collapsed="false">
      <c r="A174" s="2" t="s">
        <v>1327</v>
      </c>
      <c r="B174" s="2" t="s">
        <v>1328</v>
      </c>
      <c r="C174" s="2" t="s">
        <v>1328</v>
      </c>
      <c r="D174" s="2" t="s">
        <v>206</v>
      </c>
      <c r="E174" s="2" t="s">
        <v>107</v>
      </c>
      <c r="F174" s="2" t="s">
        <v>1329</v>
      </c>
      <c r="G174" s="2" t="s">
        <v>73</v>
      </c>
      <c r="H174" s="2" t="s">
        <v>702</v>
      </c>
      <c r="I174" s="2" t="s">
        <v>364</v>
      </c>
      <c r="J174" s="15" t="n">
        <v>110</v>
      </c>
      <c r="K174" s="15" t="n">
        <v>17</v>
      </c>
      <c r="L174" s="2" t="s">
        <v>1330</v>
      </c>
      <c r="M174" s="2" t="str">
        <f aca="false">IF(J174="","",IF(J174&lt;=4,"≤4",IF(J174&lt;=10,"5–10",IF(J174&lt;=20,"11–20",IF(J174&lt;=50,"21–50",IF(J174&lt;=250,"51–250","251+"))))))</f>
        <v>51–250</v>
      </c>
      <c r="N174" s="2"/>
      <c r="O174" s="2"/>
      <c r="P174" s="2"/>
      <c r="Q174" s="2"/>
      <c r="R174" s="16"/>
      <c r="S174" s="2"/>
      <c r="T174" s="16"/>
      <c r="U174" s="2"/>
      <c r="V174" s="16"/>
      <c r="W174" s="2"/>
      <c r="X174" s="2"/>
      <c r="Y174" s="2"/>
      <c r="Z174" s="17" t="s">
        <v>543</v>
      </c>
    </row>
    <row r="175" customFormat="false" ht="23.85" hidden="false" customHeight="false" outlineLevel="0" collapsed="false">
      <c r="A175" s="2" t="s">
        <v>1331</v>
      </c>
      <c r="B175" s="2" t="s">
        <v>1332</v>
      </c>
      <c r="C175" s="2" t="s">
        <v>1332</v>
      </c>
      <c r="D175" s="2" t="s">
        <v>178</v>
      </c>
      <c r="E175" s="2" t="s">
        <v>107</v>
      </c>
      <c r="F175" s="2" t="s">
        <v>1333</v>
      </c>
      <c r="G175" s="2" t="s">
        <v>73</v>
      </c>
      <c r="H175" s="2" t="s">
        <v>1334</v>
      </c>
      <c r="I175" s="2" t="s">
        <v>336</v>
      </c>
      <c r="J175" s="15" t="n">
        <v>100</v>
      </c>
      <c r="K175" s="15" t="n">
        <v>30</v>
      </c>
      <c r="L175" s="2" t="s">
        <v>1335</v>
      </c>
      <c r="M175" s="2" t="str">
        <f aca="false">IF(J175="","",IF(J175&lt;=4,"≤4",IF(J175&lt;=10,"5–10",IF(J175&lt;=20,"11–20",IF(J175&lt;=50,"21–50",IF(J175&lt;=250,"51–250","251+"))))))</f>
        <v>51–250</v>
      </c>
      <c r="N175" s="2"/>
      <c r="O175" s="2"/>
      <c r="P175" s="2"/>
      <c r="Q175" s="2"/>
      <c r="R175" s="16"/>
      <c r="S175" s="2"/>
      <c r="T175" s="16"/>
      <c r="U175" s="2"/>
      <c r="V175" s="16"/>
      <c r="W175" s="2"/>
      <c r="X175" s="2"/>
      <c r="Y175" s="2"/>
      <c r="Z175" s="17" t="s">
        <v>543</v>
      </c>
    </row>
    <row r="176" customFormat="false" ht="23.85" hidden="false" customHeight="false" outlineLevel="0" collapsed="false">
      <c r="A176" s="2" t="s">
        <v>1336</v>
      </c>
      <c r="B176" s="2" t="s">
        <v>1337</v>
      </c>
      <c r="C176" s="2" t="s">
        <v>1337</v>
      </c>
      <c r="D176" s="2" t="s">
        <v>211</v>
      </c>
      <c r="E176" s="2" t="s">
        <v>103</v>
      </c>
      <c r="F176" s="2" t="s">
        <v>1338</v>
      </c>
      <c r="G176" s="2" t="s">
        <v>73</v>
      </c>
      <c r="H176" s="2" t="s">
        <v>702</v>
      </c>
      <c r="I176" s="2" t="s">
        <v>336</v>
      </c>
      <c r="J176" s="15" t="n">
        <v>96</v>
      </c>
      <c r="K176" s="15" t="n">
        <v>17</v>
      </c>
      <c r="L176" s="2" t="s">
        <v>1339</v>
      </c>
      <c r="M176" s="2" t="str">
        <f aca="false">IF(J176="","",IF(J176&lt;=4,"≤4",IF(J176&lt;=10,"5–10",IF(J176&lt;=20,"11–20",IF(J176&lt;=50,"21–50",IF(J176&lt;=250,"51–250","251+"))))))</f>
        <v>51–250</v>
      </c>
      <c r="N176" s="2" t="s">
        <v>1340</v>
      </c>
      <c r="O176" s="2"/>
      <c r="P176" s="2"/>
      <c r="Q176" s="2"/>
      <c r="R176" s="16"/>
      <c r="S176" s="2"/>
      <c r="T176" s="16"/>
      <c r="U176" s="2"/>
      <c r="V176" s="16"/>
      <c r="W176" s="2"/>
      <c r="X176" s="2"/>
      <c r="Y176" s="2"/>
      <c r="Z176" s="17" t="s">
        <v>543</v>
      </c>
    </row>
    <row r="177" customFormat="false" ht="23.85" hidden="false" customHeight="false" outlineLevel="0" collapsed="false">
      <c r="A177" s="2" t="s">
        <v>1341</v>
      </c>
      <c r="B177" s="2" t="s">
        <v>1342</v>
      </c>
      <c r="C177" s="2" t="s">
        <v>1342</v>
      </c>
      <c r="D177" s="2" t="s">
        <v>208</v>
      </c>
      <c r="E177" s="2" t="s">
        <v>99</v>
      </c>
      <c r="F177" s="2" t="s">
        <v>1343</v>
      </c>
      <c r="G177" s="2" t="s">
        <v>73</v>
      </c>
      <c r="H177" s="2" t="s">
        <v>702</v>
      </c>
      <c r="I177" s="2" t="s">
        <v>336</v>
      </c>
      <c r="J177" s="15" t="n">
        <v>95</v>
      </c>
      <c r="K177" s="15" t="n">
        <v>22</v>
      </c>
      <c r="L177" s="2" t="s">
        <v>1344</v>
      </c>
      <c r="M177" s="2" t="str">
        <f aca="false">IF(J177="","",IF(J177&lt;=4,"≤4",IF(J177&lt;=10,"5–10",IF(J177&lt;=20,"11–20",IF(J177&lt;=50,"21–50",IF(J177&lt;=250,"51–250","251+"))))))</f>
        <v>51–250</v>
      </c>
      <c r="N177" s="2"/>
      <c r="O177" s="2"/>
      <c r="P177" s="2"/>
      <c r="Q177" s="2"/>
      <c r="R177" s="16"/>
      <c r="S177" s="2"/>
      <c r="T177" s="16"/>
      <c r="U177" s="2"/>
      <c r="V177" s="16"/>
      <c r="W177" s="2" t="s">
        <v>1345</v>
      </c>
      <c r="X177" s="2"/>
      <c r="Y177" s="2"/>
      <c r="Z177" s="17" t="s">
        <v>543</v>
      </c>
    </row>
    <row r="178" customFormat="false" ht="23.85" hidden="false" customHeight="false" outlineLevel="0" collapsed="false">
      <c r="A178" s="2" t="s">
        <v>1346</v>
      </c>
      <c r="B178" s="2" t="s">
        <v>1347</v>
      </c>
      <c r="C178" s="2" t="s">
        <v>1347</v>
      </c>
      <c r="D178" s="2" t="s">
        <v>180</v>
      </c>
      <c r="E178" s="2" t="s">
        <v>105</v>
      </c>
      <c r="F178" s="2" t="s">
        <v>1348</v>
      </c>
      <c r="G178" s="2" t="s">
        <v>73</v>
      </c>
      <c r="H178" s="2" t="s">
        <v>702</v>
      </c>
      <c r="I178" s="2" t="s">
        <v>336</v>
      </c>
      <c r="J178" s="15" t="n">
        <v>91</v>
      </c>
      <c r="K178" s="15" t="n">
        <v>13</v>
      </c>
      <c r="L178" s="2" t="s">
        <v>1349</v>
      </c>
      <c r="M178" s="2" t="str">
        <f aca="false">IF(J178="","",IF(J178&lt;=4,"≤4",IF(J178&lt;=10,"5–10",IF(J178&lt;=20,"11–20",IF(J178&lt;=50,"21–50",IF(J178&lt;=250,"51–250","251+"))))))</f>
        <v>51–250</v>
      </c>
      <c r="N178" s="2"/>
      <c r="O178" s="2"/>
      <c r="P178" s="2"/>
      <c r="Q178" s="2"/>
      <c r="R178" s="16"/>
      <c r="S178" s="2"/>
      <c r="T178" s="16"/>
      <c r="U178" s="2"/>
      <c r="V178" s="16"/>
      <c r="W178" s="2"/>
      <c r="X178" s="2"/>
      <c r="Y178" s="2"/>
      <c r="Z178" s="17" t="s">
        <v>543</v>
      </c>
    </row>
    <row r="179" customFormat="false" ht="23.85" hidden="false" customHeight="false" outlineLevel="0" collapsed="false">
      <c r="A179" s="2" t="s">
        <v>1350</v>
      </c>
      <c r="B179" s="2" t="s">
        <v>1351</v>
      </c>
      <c r="C179" s="2" t="s">
        <v>1351</v>
      </c>
      <c r="D179" s="2" t="s">
        <v>213</v>
      </c>
      <c r="E179" s="2" t="s">
        <v>100</v>
      </c>
      <c r="F179" s="2" t="s">
        <v>1352</v>
      </c>
      <c r="G179" s="2" t="s">
        <v>73</v>
      </c>
      <c r="H179" s="2" t="s">
        <v>702</v>
      </c>
      <c r="I179" s="2" t="s">
        <v>336</v>
      </c>
      <c r="J179" s="15" t="n">
        <v>69</v>
      </c>
      <c r="K179" s="15" t="n">
        <v>17</v>
      </c>
      <c r="L179" s="2" t="s">
        <v>1353</v>
      </c>
      <c r="M179" s="2" t="str">
        <f aca="false">IF(J179="","",IF(J179&lt;=4,"≤4",IF(J179&lt;=10,"5–10",IF(J179&lt;=20,"11–20",IF(J179&lt;=50,"21–50",IF(J179&lt;=250,"51–250","251+"))))))</f>
        <v>51–250</v>
      </c>
      <c r="N179" s="2"/>
      <c r="O179" s="2"/>
      <c r="P179" s="2"/>
      <c r="Q179" s="2"/>
      <c r="R179" s="16"/>
      <c r="S179" s="2"/>
      <c r="T179" s="16"/>
      <c r="U179" s="2"/>
      <c r="V179" s="16"/>
      <c r="W179" s="2"/>
      <c r="X179" s="2"/>
      <c r="Y179" s="2"/>
      <c r="Z179" s="17" t="s">
        <v>543</v>
      </c>
    </row>
    <row r="180" customFormat="false" ht="23.85" hidden="false" customHeight="false" outlineLevel="0" collapsed="false">
      <c r="A180" s="2" t="s">
        <v>1354</v>
      </c>
      <c r="B180" s="2" t="s">
        <v>1355</v>
      </c>
      <c r="C180" s="2" t="s">
        <v>1356</v>
      </c>
      <c r="D180" s="2" t="s">
        <v>209</v>
      </c>
      <c r="E180" s="2" t="s">
        <v>100</v>
      </c>
      <c r="F180" s="2" t="s">
        <v>1357</v>
      </c>
      <c r="G180" s="2" t="s">
        <v>73</v>
      </c>
      <c r="H180" s="2" t="s">
        <v>702</v>
      </c>
      <c r="I180" s="2" t="s">
        <v>336</v>
      </c>
      <c r="J180" s="15" t="n">
        <v>63</v>
      </c>
      <c r="K180" s="15" t="n">
        <v>11</v>
      </c>
      <c r="L180" s="2" t="s">
        <v>1358</v>
      </c>
      <c r="M180" s="2" t="str">
        <f aca="false">IF(J180="","",IF(J180&lt;=4,"≤4",IF(J180&lt;=10,"5–10",IF(J180&lt;=20,"11–20",IF(J180&lt;=50,"21–50",IF(J180&lt;=250,"51–250","251+"))))))</f>
        <v>51–250</v>
      </c>
      <c r="N180" s="2"/>
      <c r="O180" s="2"/>
      <c r="P180" s="2"/>
      <c r="Q180" s="2"/>
      <c r="R180" s="16"/>
      <c r="S180" s="2"/>
      <c r="T180" s="16"/>
      <c r="U180" s="2"/>
      <c r="V180" s="16"/>
      <c r="W180" s="2"/>
      <c r="X180" s="2"/>
      <c r="Y180" s="2"/>
      <c r="Z180" s="17" t="s">
        <v>543</v>
      </c>
    </row>
    <row r="181" customFormat="false" ht="23.85" hidden="false" customHeight="false" outlineLevel="0" collapsed="false">
      <c r="A181" s="2" t="s">
        <v>1359</v>
      </c>
      <c r="B181" s="2" t="s">
        <v>1360</v>
      </c>
      <c r="C181" s="2" t="s">
        <v>1361</v>
      </c>
      <c r="D181" s="2" t="s">
        <v>211</v>
      </c>
      <c r="E181" s="2" t="s">
        <v>103</v>
      </c>
      <c r="F181" s="2" t="s">
        <v>1362</v>
      </c>
      <c r="G181" s="2" t="s">
        <v>73</v>
      </c>
      <c r="H181" s="2" t="s">
        <v>702</v>
      </c>
      <c r="I181" s="2" t="s">
        <v>336</v>
      </c>
      <c r="J181" s="15" t="n">
        <v>59</v>
      </c>
      <c r="K181" s="15" t="n">
        <v>14</v>
      </c>
      <c r="L181" s="2" t="s">
        <v>1363</v>
      </c>
      <c r="M181" s="2" t="str">
        <f aca="false">IF(J181="","",IF(J181&lt;=4,"≤4",IF(J181&lt;=10,"5–10",IF(J181&lt;=20,"11–20",IF(J181&lt;=50,"21–50",IF(J181&lt;=250,"51–250","251+"))))))</f>
        <v>51–250</v>
      </c>
      <c r="N181" s="2" t="s">
        <v>1364</v>
      </c>
      <c r="O181" s="2"/>
      <c r="P181" s="2"/>
      <c r="Q181" s="2"/>
      <c r="R181" s="16"/>
      <c r="S181" s="2"/>
      <c r="T181" s="16"/>
      <c r="U181" s="2"/>
      <c r="V181" s="16"/>
      <c r="W181" s="2"/>
      <c r="X181" s="2"/>
      <c r="Y181" s="2"/>
      <c r="Z181" s="17" t="s">
        <v>543</v>
      </c>
    </row>
    <row r="182" customFormat="false" ht="23.85" hidden="false" customHeight="false" outlineLevel="0" collapsed="false">
      <c r="A182" s="2" t="s">
        <v>1365</v>
      </c>
      <c r="B182" s="2" t="s">
        <v>1366</v>
      </c>
      <c r="C182" s="2" t="s">
        <v>1366</v>
      </c>
      <c r="D182" s="2" t="s">
        <v>211</v>
      </c>
      <c r="E182" s="2" t="s">
        <v>103</v>
      </c>
      <c r="F182" s="2" t="s">
        <v>1367</v>
      </c>
      <c r="G182" s="2" t="s">
        <v>73</v>
      </c>
      <c r="H182" s="2" t="s">
        <v>702</v>
      </c>
      <c r="I182" s="2" t="s">
        <v>336</v>
      </c>
      <c r="J182" s="15" t="n">
        <v>57</v>
      </c>
      <c r="K182" s="15" t="n">
        <v>8</v>
      </c>
      <c r="L182" s="2" t="s">
        <v>1368</v>
      </c>
      <c r="M182" s="2" t="str">
        <f aca="false">IF(J182="","",IF(J182&lt;=4,"≤4",IF(J182&lt;=10,"5–10",IF(J182&lt;=20,"11–20",IF(J182&lt;=50,"21–50",IF(J182&lt;=250,"51–250","251+"))))))</f>
        <v>51–250</v>
      </c>
      <c r="N182" s="2" t="s">
        <v>1369</v>
      </c>
      <c r="O182" s="2"/>
      <c r="P182" s="2"/>
      <c r="Q182" s="2"/>
      <c r="R182" s="16"/>
      <c r="S182" s="2"/>
      <c r="T182" s="16"/>
      <c r="U182" s="2"/>
      <c r="V182" s="16"/>
      <c r="W182" s="2"/>
      <c r="X182" s="2"/>
      <c r="Y182" s="2"/>
      <c r="Z182" s="17" t="s">
        <v>543</v>
      </c>
    </row>
    <row r="183" customFormat="false" ht="23.85" hidden="false" customHeight="false" outlineLevel="0" collapsed="false">
      <c r="A183" s="2" t="s">
        <v>1370</v>
      </c>
      <c r="B183" s="2" t="s">
        <v>1371</v>
      </c>
      <c r="C183" s="2" t="s">
        <v>1371</v>
      </c>
      <c r="D183" s="2" t="s">
        <v>196</v>
      </c>
      <c r="E183" s="2" t="s">
        <v>106</v>
      </c>
      <c r="F183" s="2" t="s">
        <v>1367</v>
      </c>
      <c r="G183" s="2" t="s">
        <v>73</v>
      </c>
      <c r="H183" s="2" t="s">
        <v>702</v>
      </c>
      <c r="I183" s="2" t="s">
        <v>364</v>
      </c>
      <c r="J183" s="15" t="n">
        <v>57</v>
      </c>
      <c r="K183" s="15" t="n">
        <v>11</v>
      </c>
      <c r="L183" s="2" t="s">
        <v>1372</v>
      </c>
      <c r="M183" s="2" t="str">
        <f aca="false">IF(J183="","",IF(J183&lt;=4,"≤4",IF(J183&lt;=10,"5–10",IF(J183&lt;=20,"11–20",IF(J183&lt;=50,"21–50",IF(J183&lt;=250,"51–250","251+"))))))</f>
        <v>51–250</v>
      </c>
      <c r="N183" s="2"/>
      <c r="O183" s="2"/>
      <c r="P183" s="2"/>
      <c r="Q183" s="2"/>
      <c r="R183" s="16"/>
      <c r="S183" s="2"/>
      <c r="T183" s="16"/>
      <c r="U183" s="2"/>
      <c r="V183" s="16"/>
      <c r="W183" s="2"/>
      <c r="X183" s="2"/>
      <c r="Y183" s="2"/>
      <c r="Z183" s="17" t="s">
        <v>543</v>
      </c>
    </row>
    <row r="184" customFormat="false" ht="23.85" hidden="false" customHeight="false" outlineLevel="0" collapsed="false">
      <c r="A184" s="2" t="s">
        <v>1373</v>
      </c>
      <c r="B184" s="2" t="s">
        <v>1374</v>
      </c>
      <c r="C184" s="2" t="s">
        <v>1374</v>
      </c>
      <c r="D184" s="2" t="s">
        <v>200</v>
      </c>
      <c r="E184" s="2" t="s">
        <v>100</v>
      </c>
      <c r="F184" s="2" t="s">
        <v>1375</v>
      </c>
      <c r="G184" s="2" t="s">
        <v>73</v>
      </c>
      <c r="H184" s="2" t="s">
        <v>702</v>
      </c>
      <c r="I184" s="2" t="s">
        <v>336</v>
      </c>
      <c r="J184" s="15" t="n">
        <v>56</v>
      </c>
      <c r="K184" s="15" t="n">
        <v>10</v>
      </c>
      <c r="L184" s="2" t="s">
        <v>1376</v>
      </c>
      <c r="M184" s="2" t="str">
        <f aca="false">IF(J184="","",IF(J184&lt;=4,"≤4",IF(J184&lt;=10,"5–10",IF(J184&lt;=20,"11–20",IF(J184&lt;=50,"21–50",IF(J184&lt;=250,"51–250","251+"))))))</f>
        <v>51–250</v>
      </c>
      <c r="N184" s="2"/>
      <c r="O184" s="2"/>
      <c r="P184" s="2"/>
      <c r="Q184" s="2"/>
      <c r="R184" s="16"/>
      <c r="S184" s="2"/>
      <c r="T184" s="16"/>
      <c r="U184" s="2"/>
      <c r="V184" s="16"/>
      <c r="W184" s="2"/>
      <c r="X184" s="2"/>
      <c r="Y184" s="2"/>
      <c r="Z184" s="17" t="s">
        <v>543</v>
      </c>
    </row>
    <row r="185" customFormat="false" ht="23.85" hidden="false" customHeight="false" outlineLevel="0" collapsed="false">
      <c r="A185" s="2" t="s">
        <v>1377</v>
      </c>
      <c r="B185" s="2" t="s">
        <v>1378</v>
      </c>
      <c r="C185" s="2" t="s">
        <v>1378</v>
      </c>
      <c r="D185" s="2" t="s">
        <v>211</v>
      </c>
      <c r="E185" s="2" t="s">
        <v>103</v>
      </c>
      <c r="F185" s="2" t="s">
        <v>1379</v>
      </c>
      <c r="G185" s="2" t="s">
        <v>73</v>
      </c>
      <c r="H185" s="2" t="s">
        <v>702</v>
      </c>
      <c r="I185" s="2" t="s">
        <v>336</v>
      </c>
      <c r="J185" s="15" t="n">
        <v>50</v>
      </c>
      <c r="K185" s="15" t="n">
        <v>9</v>
      </c>
      <c r="L185" s="2" t="s">
        <v>1380</v>
      </c>
      <c r="M185" s="2" t="str">
        <f aca="false">IF(J185="","",IF(J185&lt;=4,"≤4",IF(J185&lt;=10,"5–10",IF(J185&lt;=20,"11–20",IF(J185&lt;=50,"21–50",IF(J185&lt;=250,"51–250","251+"))))))</f>
        <v>21–50</v>
      </c>
      <c r="N185" s="2" t="s">
        <v>1381</v>
      </c>
      <c r="O185" s="2"/>
      <c r="P185" s="2"/>
      <c r="Q185" s="2"/>
      <c r="R185" s="16"/>
      <c r="S185" s="2"/>
      <c r="T185" s="16"/>
      <c r="U185" s="2"/>
      <c r="V185" s="16"/>
      <c r="W185" s="2"/>
      <c r="X185" s="2"/>
      <c r="Y185" s="2"/>
      <c r="Z185" s="17" t="s">
        <v>543</v>
      </c>
    </row>
    <row r="186" customFormat="false" ht="23.85" hidden="false" customHeight="false" outlineLevel="0" collapsed="false">
      <c r="A186" s="2" t="s">
        <v>1382</v>
      </c>
      <c r="B186" s="2" t="s">
        <v>1383</v>
      </c>
      <c r="C186" s="2" t="s">
        <v>1383</v>
      </c>
      <c r="D186" s="2" t="s">
        <v>194</v>
      </c>
      <c r="E186" s="2" t="s">
        <v>99</v>
      </c>
      <c r="F186" s="2" t="s">
        <v>1384</v>
      </c>
      <c r="G186" s="2" t="s">
        <v>73</v>
      </c>
      <c r="H186" s="2" t="s">
        <v>702</v>
      </c>
      <c r="I186" s="2" t="s">
        <v>336</v>
      </c>
      <c r="J186" s="15" t="n">
        <v>49</v>
      </c>
      <c r="K186" s="15" t="n">
        <v>9</v>
      </c>
      <c r="L186" s="2" t="s">
        <v>1385</v>
      </c>
      <c r="M186" s="2" t="str">
        <f aca="false">IF(J186="","",IF(J186&lt;=4,"≤4",IF(J186&lt;=10,"5–10",IF(J186&lt;=20,"11–20",IF(J186&lt;=50,"21–50",IF(J186&lt;=250,"51–250","251+"))))))</f>
        <v>21–50</v>
      </c>
      <c r="N186" s="2" t="s">
        <v>1386</v>
      </c>
      <c r="O186" s="2"/>
      <c r="P186" s="2"/>
      <c r="Q186" s="2"/>
      <c r="R186" s="16"/>
      <c r="S186" s="2"/>
      <c r="T186" s="16"/>
      <c r="U186" s="2"/>
      <c r="V186" s="16"/>
      <c r="W186" s="2" t="s">
        <v>1387</v>
      </c>
      <c r="X186" s="2"/>
      <c r="Y186" s="2"/>
      <c r="Z186" s="17" t="s">
        <v>543</v>
      </c>
    </row>
    <row r="187" customFormat="false" ht="23.85" hidden="false" customHeight="false" outlineLevel="0" collapsed="false">
      <c r="A187" s="2" t="s">
        <v>1388</v>
      </c>
      <c r="B187" s="2" t="s">
        <v>1389</v>
      </c>
      <c r="C187" s="2" t="s">
        <v>1389</v>
      </c>
      <c r="D187" s="2" t="s">
        <v>208</v>
      </c>
      <c r="E187" s="2" t="s">
        <v>99</v>
      </c>
      <c r="F187" s="2" t="s">
        <v>1390</v>
      </c>
      <c r="G187" s="2" t="s">
        <v>73</v>
      </c>
      <c r="H187" s="2" t="s">
        <v>702</v>
      </c>
      <c r="I187" s="2" t="s">
        <v>364</v>
      </c>
      <c r="J187" s="15" t="n">
        <v>42</v>
      </c>
      <c r="K187" s="15" t="n">
        <v>13</v>
      </c>
      <c r="L187" s="2" t="s">
        <v>1391</v>
      </c>
      <c r="M187" s="2" t="str">
        <f aca="false">IF(J187="","",IF(J187&lt;=4,"≤4",IF(J187&lt;=10,"5–10",IF(J187&lt;=20,"11–20",IF(J187&lt;=50,"21–50",IF(J187&lt;=250,"51–250","251+"))))))</f>
        <v>21–50</v>
      </c>
      <c r="N187" s="2"/>
      <c r="O187" s="2"/>
      <c r="P187" s="2"/>
      <c r="Q187" s="2"/>
      <c r="R187" s="16"/>
      <c r="S187" s="2"/>
      <c r="T187" s="16"/>
      <c r="U187" s="2"/>
      <c r="V187" s="16"/>
      <c r="W187" s="2"/>
      <c r="X187" s="2"/>
      <c r="Y187" s="2"/>
      <c r="Z187" s="17" t="s">
        <v>543</v>
      </c>
    </row>
    <row r="188" customFormat="false" ht="23.85" hidden="false" customHeight="false" outlineLevel="0" collapsed="false">
      <c r="A188" s="2" t="s">
        <v>1392</v>
      </c>
      <c r="B188" s="2" t="s">
        <v>1393</v>
      </c>
      <c r="C188" s="2" t="s">
        <v>1393</v>
      </c>
      <c r="D188" s="2" t="s">
        <v>212</v>
      </c>
      <c r="E188" s="2" t="s">
        <v>101</v>
      </c>
      <c r="F188" s="2" t="s">
        <v>1394</v>
      </c>
      <c r="G188" s="2" t="s">
        <v>73</v>
      </c>
      <c r="H188" s="2" t="s">
        <v>702</v>
      </c>
      <c r="I188" s="2" t="s">
        <v>364</v>
      </c>
      <c r="J188" s="15" t="n">
        <v>41</v>
      </c>
      <c r="K188" s="15" t="n">
        <v>10</v>
      </c>
      <c r="L188" s="2" t="s">
        <v>1395</v>
      </c>
      <c r="M188" s="2" t="str">
        <f aca="false">IF(J188="","",IF(J188&lt;=4,"≤4",IF(J188&lt;=10,"5–10",IF(J188&lt;=20,"11–20",IF(J188&lt;=50,"21–50",IF(J188&lt;=250,"51–250","251+"))))))</f>
        <v>21–50</v>
      </c>
      <c r="N188" s="2"/>
      <c r="O188" s="2"/>
      <c r="P188" s="2"/>
      <c r="Q188" s="2"/>
      <c r="R188" s="16"/>
      <c r="S188" s="2"/>
      <c r="T188" s="16"/>
      <c r="U188" s="2"/>
      <c r="V188" s="16"/>
      <c r="W188" s="2"/>
      <c r="X188" s="2"/>
      <c r="Y188" s="2"/>
      <c r="Z188" s="17" t="s">
        <v>543</v>
      </c>
    </row>
    <row r="189" customFormat="false" ht="23.85" hidden="false" customHeight="false" outlineLevel="0" collapsed="false">
      <c r="A189" s="2" t="s">
        <v>1396</v>
      </c>
      <c r="B189" s="2" t="s">
        <v>1397</v>
      </c>
      <c r="C189" s="2" t="s">
        <v>1398</v>
      </c>
      <c r="D189" s="2" t="s">
        <v>187</v>
      </c>
      <c r="E189" s="2" t="s">
        <v>102</v>
      </c>
      <c r="F189" s="2" t="s">
        <v>1399</v>
      </c>
      <c r="G189" s="2" t="s">
        <v>73</v>
      </c>
      <c r="H189" s="2" t="s">
        <v>702</v>
      </c>
      <c r="I189" s="2" t="s">
        <v>364</v>
      </c>
      <c r="J189" s="15" t="n">
        <v>40</v>
      </c>
      <c r="K189" s="15" t="n">
        <v>10</v>
      </c>
      <c r="L189" s="2" t="s">
        <v>1400</v>
      </c>
      <c r="M189" s="2" t="str">
        <f aca="false">IF(J189="","",IF(J189&lt;=4,"≤4",IF(J189&lt;=10,"5–10",IF(J189&lt;=20,"11–20",IF(J189&lt;=50,"21–50",IF(J189&lt;=250,"51–250","251+"))))))</f>
        <v>21–50</v>
      </c>
      <c r="N189" s="2" t="s">
        <v>1401</v>
      </c>
      <c r="O189" s="2"/>
      <c r="P189" s="2"/>
      <c r="Q189" s="2"/>
      <c r="R189" s="16"/>
      <c r="S189" s="2"/>
      <c r="T189" s="16"/>
      <c r="U189" s="2"/>
      <c r="V189" s="16"/>
      <c r="W189" s="2"/>
      <c r="X189" s="2"/>
      <c r="Y189" s="2"/>
      <c r="Z189" s="17" t="s">
        <v>543</v>
      </c>
    </row>
    <row r="190" customFormat="false" ht="23.85" hidden="false" customHeight="false" outlineLevel="0" collapsed="false">
      <c r="A190" s="2" t="s">
        <v>1402</v>
      </c>
      <c r="B190" s="2" t="s">
        <v>1403</v>
      </c>
      <c r="C190" s="2" t="s">
        <v>1403</v>
      </c>
      <c r="D190" s="2" t="s">
        <v>211</v>
      </c>
      <c r="E190" s="2" t="s">
        <v>103</v>
      </c>
      <c r="F190" s="2" t="s">
        <v>1404</v>
      </c>
      <c r="G190" s="2" t="s">
        <v>73</v>
      </c>
      <c r="H190" s="2" t="s">
        <v>702</v>
      </c>
      <c r="I190" s="2" t="s">
        <v>336</v>
      </c>
      <c r="J190" s="15" t="n">
        <v>37</v>
      </c>
      <c r="K190" s="15" t="n">
        <v>7</v>
      </c>
      <c r="L190" s="2" t="s">
        <v>1405</v>
      </c>
      <c r="M190" s="2" t="str">
        <f aca="false">IF(J190="","",IF(J190&lt;=4,"≤4",IF(J190&lt;=10,"5–10",IF(J190&lt;=20,"11–20",IF(J190&lt;=50,"21–50",IF(J190&lt;=250,"51–250","251+"))))))</f>
        <v>21–50</v>
      </c>
      <c r="N190" s="2"/>
      <c r="O190" s="2"/>
      <c r="P190" s="2"/>
      <c r="Q190" s="2"/>
      <c r="R190" s="16"/>
      <c r="S190" s="2"/>
      <c r="T190" s="16"/>
      <c r="U190" s="2"/>
      <c r="V190" s="16"/>
      <c r="W190" s="2"/>
      <c r="X190" s="2"/>
      <c r="Y190" s="2"/>
      <c r="Z190" s="17" t="s">
        <v>543</v>
      </c>
    </row>
    <row r="191" customFormat="false" ht="23.85" hidden="false" customHeight="false" outlineLevel="0" collapsed="false">
      <c r="A191" s="2" t="s">
        <v>1406</v>
      </c>
      <c r="B191" s="2" t="s">
        <v>1407</v>
      </c>
      <c r="C191" s="2" t="s">
        <v>1407</v>
      </c>
      <c r="D191" s="2" t="s">
        <v>202</v>
      </c>
      <c r="E191" s="2" t="s">
        <v>108</v>
      </c>
      <c r="F191" s="2" t="s">
        <v>1408</v>
      </c>
      <c r="G191" s="2" t="s">
        <v>73</v>
      </c>
      <c r="H191" s="2" t="s">
        <v>702</v>
      </c>
      <c r="I191" s="2" t="s">
        <v>336</v>
      </c>
      <c r="J191" s="15" t="n">
        <v>35</v>
      </c>
      <c r="K191" s="15" t="n">
        <v>6</v>
      </c>
      <c r="L191" s="2" t="s">
        <v>1409</v>
      </c>
      <c r="M191" s="2" t="str">
        <f aca="false">IF(J191="","",IF(J191&lt;=4,"≤4",IF(J191&lt;=10,"5–10",IF(J191&lt;=20,"11–20",IF(J191&lt;=50,"21–50",IF(J191&lt;=250,"51–250","251+"))))))</f>
        <v>21–50</v>
      </c>
      <c r="N191" s="2"/>
      <c r="O191" s="2"/>
      <c r="P191" s="2"/>
      <c r="Q191" s="2"/>
      <c r="R191" s="16"/>
      <c r="S191" s="2"/>
      <c r="T191" s="16"/>
      <c r="U191" s="2"/>
      <c r="V191" s="16"/>
      <c r="W191" s="2"/>
      <c r="X191" s="2"/>
      <c r="Y191" s="2"/>
      <c r="Z191" s="17" t="s">
        <v>543</v>
      </c>
    </row>
    <row r="192" customFormat="false" ht="23.85" hidden="false" customHeight="false" outlineLevel="0" collapsed="false">
      <c r="A192" s="2" t="s">
        <v>1410</v>
      </c>
      <c r="B192" s="2" t="s">
        <v>1411</v>
      </c>
      <c r="C192" s="2" t="s">
        <v>1411</v>
      </c>
      <c r="D192" s="2" t="s">
        <v>178</v>
      </c>
      <c r="E192" s="2" t="s">
        <v>107</v>
      </c>
      <c r="F192" s="2" t="s">
        <v>1412</v>
      </c>
      <c r="G192" s="2" t="s">
        <v>73</v>
      </c>
      <c r="H192" s="2" t="s">
        <v>702</v>
      </c>
      <c r="I192" s="2" t="s">
        <v>364</v>
      </c>
      <c r="J192" s="15" t="n">
        <v>29</v>
      </c>
      <c r="K192" s="15" t="n">
        <v>5</v>
      </c>
      <c r="L192" s="2" t="s">
        <v>1413</v>
      </c>
      <c r="M192" s="2" t="str">
        <f aca="false">IF(J192="","",IF(J192&lt;=4,"≤4",IF(J192&lt;=10,"5–10",IF(J192&lt;=20,"11–20",IF(J192&lt;=50,"21–50",IF(J192&lt;=250,"51–250","251+"))))))</f>
        <v>21–50</v>
      </c>
      <c r="N192" s="2"/>
      <c r="O192" s="2"/>
      <c r="P192" s="2"/>
      <c r="Q192" s="2"/>
      <c r="R192" s="16"/>
      <c r="S192" s="2"/>
      <c r="T192" s="16"/>
      <c r="U192" s="2"/>
      <c r="V192" s="16"/>
      <c r="W192" s="2"/>
      <c r="X192" s="2"/>
      <c r="Y192" s="2"/>
      <c r="Z192" s="17" t="s">
        <v>543</v>
      </c>
    </row>
    <row r="193" customFormat="false" ht="23.85" hidden="false" customHeight="false" outlineLevel="0" collapsed="false">
      <c r="A193" s="2" t="s">
        <v>1414</v>
      </c>
      <c r="B193" s="2" t="s">
        <v>1415</v>
      </c>
      <c r="C193" s="2" t="s">
        <v>1415</v>
      </c>
      <c r="D193" s="2" t="s">
        <v>196</v>
      </c>
      <c r="E193" s="2" t="s">
        <v>106</v>
      </c>
      <c r="F193" s="2" t="s">
        <v>1416</v>
      </c>
      <c r="G193" s="2" t="s">
        <v>73</v>
      </c>
      <c r="H193" s="2" t="s">
        <v>1417</v>
      </c>
      <c r="I193" s="2" t="s">
        <v>364</v>
      </c>
      <c r="J193" s="15" t="n">
        <v>18</v>
      </c>
      <c r="K193" s="15" t="n">
        <v>18</v>
      </c>
      <c r="L193" s="2" t="s">
        <v>1418</v>
      </c>
      <c r="M193" s="2" t="str">
        <f aca="false">IF(J193="","",IF(J193&lt;=4,"≤4",IF(J193&lt;=10,"5–10",IF(J193&lt;=20,"11–20",IF(J193&lt;=50,"21–50",IF(J193&lt;=250,"51–250","251+"))))))</f>
        <v>11–20</v>
      </c>
      <c r="N193" s="2"/>
      <c r="O193" s="2"/>
      <c r="P193" s="2"/>
      <c r="Q193" s="2"/>
      <c r="R193" s="16"/>
      <c r="S193" s="2"/>
      <c r="T193" s="16"/>
      <c r="U193" s="2"/>
      <c r="V193" s="16"/>
      <c r="W193" s="2"/>
      <c r="X193" s="2"/>
      <c r="Y193" s="2"/>
      <c r="Z193" s="17" t="s">
        <v>543</v>
      </c>
    </row>
    <row r="194" customFormat="false" ht="23.85" hidden="false" customHeight="false" outlineLevel="0" collapsed="false">
      <c r="A194" s="2" t="s">
        <v>1419</v>
      </c>
      <c r="B194" s="2" t="s">
        <v>1420</v>
      </c>
      <c r="C194" s="2" t="s">
        <v>1421</v>
      </c>
      <c r="D194" s="2" t="s">
        <v>180</v>
      </c>
      <c r="E194" s="2" t="s">
        <v>105</v>
      </c>
      <c r="F194" s="2" t="s">
        <v>1422</v>
      </c>
      <c r="G194" s="2" t="s">
        <v>73</v>
      </c>
      <c r="H194" s="2" t="s">
        <v>702</v>
      </c>
      <c r="I194" s="2" t="s">
        <v>364</v>
      </c>
      <c r="J194" s="15" t="n">
        <v>24</v>
      </c>
      <c r="K194" s="15" t="n">
        <v>3</v>
      </c>
      <c r="L194" s="2" t="s">
        <v>946</v>
      </c>
      <c r="M194" s="2" t="str">
        <f aca="false">IF(J194="","",IF(J194&lt;=4,"≤4",IF(J194&lt;=10,"5–10",IF(J194&lt;=20,"11–20",IF(J194&lt;=50,"21–50",IF(J194&lt;=250,"51–250","251+"))))))</f>
        <v>21–50</v>
      </c>
      <c r="N194" s="2"/>
      <c r="O194" s="2"/>
      <c r="P194" s="2"/>
      <c r="Q194" s="2"/>
      <c r="R194" s="16"/>
      <c r="S194" s="2"/>
      <c r="T194" s="16"/>
      <c r="U194" s="2"/>
      <c r="V194" s="16"/>
      <c r="W194" s="2"/>
      <c r="X194" s="2"/>
      <c r="Y194" s="2"/>
      <c r="Z194" s="17" t="s">
        <v>543</v>
      </c>
    </row>
    <row r="195" customFormat="false" ht="23.85" hidden="false" customHeight="false" outlineLevel="0" collapsed="false">
      <c r="A195" s="2" t="s">
        <v>1423</v>
      </c>
      <c r="B195" s="2" t="s">
        <v>1424</v>
      </c>
      <c r="C195" s="2" t="s">
        <v>1425</v>
      </c>
      <c r="D195" s="2" t="s">
        <v>202</v>
      </c>
      <c r="E195" s="2" t="s">
        <v>108</v>
      </c>
      <c r="F195" s="2" t="s">
        <v>1426</v>
      </c>
      <c r="G195" s="2" t="s">
        <v>73</v>
      </c>
      <c r="H195" s="2" t="s">
        <v>702</v>
      </c>
      <c r="I195" s="2" t="s">
        <v>336</v>
      </c>
      <c r="J195" s="15" t="n">
        <v>24</v>
      </c>
      <c r="K195" s="15" t="n">
        <v>3</v>
      </c>
      <c r="L195" s="2" t="s">
        <v>1427</v>
      </c>
      <c r="M195" s="2" t="str">
        <f aca="false">IF(J195="","",IF(J195&lt;=4,"≤4",IF(J195&lt;=10,"5–10",IF(J195&lt;=20,"11–20",IF(J195&lt;=50,"21–50",IF(J195&lt;=250,"51–250","251+"))))))</f>
        <v>21–50</v>
      </c>
      <c r="N195" s="2" t="s">
        <v>1428</v>
      </c>
      <c r="O195" s="2"/>
      <c r="P195" s="2"/>
      <c r="Q195" s="2"/>
      <c r="R195" s="16"/>
      <c r="S195" s="2"/>
      <c r="T195" s="16"/>
      <c r="U195" s="2"/>
      <c r="V195" s="16"/>
      <c r="W195" s="2"/>
      <c r="X195" s="2"/>
      <c r="Y195" s="2"/>
      <c r="Z195" s="17" t="s">
        <v>543</v>
      </c>
    </row>
    <row r="196" customFormat="false" ht="23.85" hidden="false" customHeight="false" outlineLevel="0" collapsed="false">
      <c r="A196" s="2" t="s">
        <v>1429</v>
      </c>
      <c r="B196" s="2" t="s">
        <v>1430</v>
      </c>
      <c r="C196" s="2" t="s">
        <v>1430</v>
      </c>
      <c r="D196" s="2" t="s">
        <v>211</v>
      </c>
      <c r="E196" s="2" t="s">
        <v>103</v>
      </c>
      <c r="F196" s="2" t="s">
        <v>1431</v>
      </c>
      <c r="G196" s="2" t="s">
        <v>73</v>
      </c>
      <c r="H196" s="2" t="s">
        <v>702</v>
      </c>
      <c r="I196" s="2" t="s">
        <v>364</v>
      </c>
      <c r="J196" s="15" t="n">
        <v>24</v>
      </c>
      <c r="K196" s="15" t="n">
        <v>3</v>
      </c>
      <c r="L196" s="2" t="s">
        <v>946</v>
      </c>
      <c r="M196" s="2" t="str">
        <f aca="false">IF(J196="","",IF(J196&lt;=4,"≤4",IF(J196&lt;=10,"5–10",IF(J196&lt;=20,"11–20",IF(J196&lt;=50,"21–50",IF(J196&lt;=250,"51–250","251+"))))))</f>
        <v>21–50</v>
      </c>
      <c r="N196" s="2"/>
      <c r="O196" s="2"/>
      <c r="P196" s="2"/>
      <c r="Q196" s="2"/>
      <c r="R196" s="16"/>
      <c r="S196" s="2"/>
      <c r="T196" s="16"/>
      <c r="U196" s="2"/>
      <c r="V196" s="16"/>
      <c r="W196" s="2"/>
      <c r="X196" s="2"/>
      <c r="Y196" s="2"/>
      <c r="Z196" s="17" t="s">
        <v>543</v>
      </c>
    </row>
    <row r="197" customFormat="false" ht="23.85" hidden="false" customHeight="false" outlineLevel="0" collapsed="false">
      <c r="A197" s="2" t="s">
        <v>1432</v>
      </c>
      <c r="B197" s="2" t="s">
        <v>1433</v>
      </c>
      <c r="C197" s="2" t="s">
        <v>1433</v>
      </c>
      <c r="D197" s="2" t="s">
        <v>196</v>
      </c>
      <c r="E197" s="2" t="s">
        <v>106</v>
      </c>
      <c r="F197" s="2" t="s">
        <v>1434</v>
      </c>
      <c r="G197" s="2" t="s">
        <v>73</v>
      </c>
      <c r="H197" s="2" t="s">
        <v>702</v>
      </c>
      <c r="I197" s="2" t="s">
        <v>336</v>
      </c>
      <c r="J197" s="15" t="n">
        <v>24</v>
      </c>
      <c r="K197" s="15" t="n">
        <v>3</v>
      </c>
      <c r="L197" s="2" t="s">
        <v>1435</v>
      </c>
      <c r="M197" s="2" t="str">
        <f aca="false">IF(J197="","",IF(J197&lt;=4,"≤4",IF(J197&lt;=10,"5–10",IF(J197&lt;=20,"11–20",IF(J197&lt;=50,"21–50",IF(J197&lt;=250,"51–250","251+"))))))</f>
        <v>21–50</v>
      </c>
      <c r="N197" s="2"/>
      <c r="O197" s="2"/>
      <c r="P197" s="2"/>
      <c r="Q197" s="2"/>
      <c r="R197" s="16"/>
      <c r="S197" s="2"/>
      <c r="T197" s="16"/>
      <c r="U197" s="2"/>
      <c r="V197" s="16"/>
      <c r="W197" s="2"/>
      <c r="X197" s="2"/>
      <c r="Y197" s="2"/>
      <c r="Z197" s="17" t="s">
        <v>543</v>
      </c>
    </row>
    <row r="198" customFormat="false" ht="23.85" hidden="false" customHeight="false" outlineLevel="0" collapsed="false">
      <c r="A198" s="2" t="s">
        <v>1436</v>
      </c>
      <c r="B198" s="2" t="s">
        <v>1437</v>
      </c>
      <c r="C198" s="2" t="s">
        <v>1437</v>
      </c>
      <c r="D198" s="2" t="s">
        <v>213</v>
      </c>
      <c r="E198" s="2" t="s">
        <v>102</v>
      </c>
      <c r="F198" s="2" t="s">
        <v>1438</v>
      </c>
      <c r="G198" s="2" t="s">
        <v>73</v>
      </c>
      <c r="H198" s="2" t="s">
        <v>702</v>
      </c>
      <c r="I198" s="2" t="s">
        <v>364</v>
      </c>
      <c r="J198" s="15" t="n">
        <v>23</v>
      </c>
      <c r="K198" s="15" t="n">
        <v>3</v>
      </c>
      <c r="L198" s="2" t="s">
        <v>946</v>
      </c>
      <c r="M198" s="2" t="str">
        <f aca="false">IF(J198="","",IF(J198&lt;=4,"≤4",IF(J198&lt;=10,"5–10",IF(J198&lt;=20,"11–20",IF(J198&lt;=50,"21–50",IF(J198&lt;=250,"51–250","251+"))))))</f>
        <v>21–50</v>
      </c>
      <c r="N198" s="2"/>
      <c r="O198" s="2"/>
      <c r="P198" s="2"/>
      <c r="Q198" s="2"/>
      <c r="R198" s="16"/>
      <c r="S198" s="2"/>
      <c r="T198" s="16"/>
      <c r="U198" s="2"/>
      <c r="V198" s="16"/>
      <c r="W198" s="2"/>
      <c r="X198" s="2"/>
      <c r="Y198" s="2"/>
      <c r="Z198" s="17" t="s">
        <v>543</v>
      </c>
    </row>
    <row r="199" customFormat="false" ht="23.85" hidden="false" customHeight="false" outlineLevel="0" collapsed="false">
      <c r="A199" s="2" t="s">
        <v>1439</v>
      </c>
      <c r="B199" s="2" t="s">
        <v>1440</v>
      </c>
      <c r="C199" s="2" t="s">
        <v>1440</v>
      </c>
      <c r="D199" s="2" t="s">
        <v>198</v>
      </c>
      <c r="E199" s="2" t="s">
        <v>100</v>
      </c>
      <c r="F199" s="2" t="s">
        <v>1441</v>
      </c>
      <c r="G199" s="2" t="s">
        <v>73</v>
      </c>
      <c r="H199" s="2" t="s">
        <v>702</v>
      </c>
      <c r="I199" s="2" t="s">
        <v>364</v>
      </c>
      <c r="J199" s="15" t="n">
        <v>21</v>
      </c>
      <c r="K199" s="15" t="n">
        <v>3</v>
      </c>
      <c r="L199" s="2" t="s">
        <v>946</v>
      </c>
      <c r="M199" s="2" t="str">
        <f aca="false">IF(J199="","",IF(J199&lt;=4,"≤4",IF(J199&lt;=10,"5–10",IF(J199&lt;=20,"11–20",IF(J199&lt;=50,"21–50",IF(J199&lt;=250,"51–250","251+"))))))</f>
        <v>21–50</v>
      </c>
      <c r="N199" s="2"/>
      <c r="O199" s="2"/>
      <c r="P199" s="2"/>
      <c r="Q199" s="2"/>
      <c r="R199" s="16"/>
      <c r="S199" s="2"/>
      <c r="T199" s="16"/>
      <c r="U199" s="2"/>
      <c r="V199" s="16"/>
      <c r="W199" s="2"/>
      <c r="X199" s="2"/>
      <c r="Y199" s="2"/>
      <c r="Z199" s="17" t="s">
        <v>543</v>
      </c>
    </row>
    <row r="200" customFormat="false" ht="23.85" hidden="false" customHeight="false" outlineLevel="0" collapsed="false">
      <c r="A200" s="2" t="s">
        <v>1442</v>
      </c>
      <c r="B200" s="2" t="s">
        <v>1443</v>
      </c>
      <c r="C200" s="2" t="s">
        <v>1443</v>
      </c>
      <c r="D200" s="2" t="s">
        <v>206</v>
      </c>
      <c r="E200" s="2" t="s">
        <v>107</v>
      </c>
      <c r="F200" s="2" t="s">
        <v>1444</v>
      </c>
      <c r="G200" s="2" t="s">
        <v>73</v>
      </c>
      <c r="H200" s="2" t="s">
        <v>702</v>
      </c>
      <c r="I200" s="2" t="s">
        <v>364</v>
      </c>
      <c r="J200" s="15" t="n">
        <v>21</v>
      </c>
      <c r="K200" s="15" t="n">
        <v>3</v>
      </c>
      <c r="L200" s="2" t="s">
        <v>946</v>
      </c>
      <c r="M200" s="2" t="str">
        <f aca="false">IF(J200="","",IF(J200&lt;=4,"≤4",IF(J200&lt;=10,"5–10",IF(J200&lt;=20,"11–20",IF(J200&lt;=50,"21–50",IF(J200&lt;=250,"51–250","251+"))))))</f>
        <v>21–50</v>
      </c>
      <c r="N200" s="2" t="s">
        <v>1445</v>
      </c>
      <c r="O200" s="2"/>
      <c r="P200" s="2"/>
      <c r="Q200" s="2"/>
      <c r="R200" s="16"/>
      <c r="S200" s="2"/>
      <c r="T200" s="16"/>
      <c r="U200" s="2"/>
      <c r="V200" s="16"/>
      <c r="W200" s="2"/>
      <c r="X200" s="2"/>
      <c r="Y200" s="2"/>
      <c r="Z200" s="17" t="s">
        <v>543</v>
      </c>
    </row>
    <row r="201" customFormat="false" ht="23.85" hidden="false" customHeight="false" outlineLevel="0" collapsed="false">
      <c r="A201" s="2" t="s">
        <v>1446</v>
      </c>
      <c r="B201" s="2" t="s">
        <v>1447</v>
      </c>
      <c r="C201" s="2" t="s">
        <v>1447</v>
      </c>
      <c r="D201" s="2" t="s">
        <v>213</v>
      </c>
      <c r="E201" s="2" t="s">
        <v>102</v>
      </c>
      <c r="F201" s="2" t="s">
        <v>1448</v>
      </c>
      <c r="G201" s="2" t="s">
        <v>73</v>
      </c>
      <c r="H201" s="2" t="s">
        <v>702</v>
      </c>
      <c r="I201" s="2" t="s">
        <v>364</v>
      </c>
      <c r="J201" s="15" t="n">
        <v>21</v>
      </c>
      <c r="K201" s="15" t="n">
        <v>3</v>
      </c>
      <c r="L201" s="2" t="s">
        <v>946</v>
      </c>
      <c r="M201" s="2" t="str">
        <f aca="false">IF(J201="","",IF(J201&lt;=4,"≤4",IF(J201&lt;=10,"5–10",IF(J201&lt;=20,"11–20",IF(J201&lt;=50,"21–50",IF(J201&lt;=250,"51–250","251+"))))))</f>
        <v>21–50</v>
      </c>
      <c r="N201" s="2"/>
      <c r="O201" s="2"/>
      <c r="P201" s="2"/>
      <c r="Q201" s="2"/>
      <c r="R201" s="16"/>
      <c r="S201" s="2"/>
      <c r="T201" s="16"/>
      <c r="U201" s="2"/>
      <c r="V201" s="16"/>
      <c r="W201" s="2"/>
      <c r="X201" s="2"/>
      <c r="Y201" s="2"/>
      <c r="Z201" s="17" t="s">
        <v>543</v>
      </c>
    </row>
    <row r="202" customFormat="false" ht="23.85" hidden="false" customHeight="false" outlineLevel="0" collapsed="false">
      <c r="A202" s="2" t="s">
        <v>1449</v>
      </c>
      <c r="B202" s="2" t="s">
        <v>1450</v>
      </c>
      <c r="C202" s="2" t="s">
        <v>1450</v>
      </c>
      <c r="D202" s="2" t="s">
        <v>198</v>
      </c>
      <c r="E202" s="2" t="s">
        <v>100</v>
      </c>
      <c r="F202" s="2" t="s">
        <v>1426</v>
      </c>
      <c r="G202" s="2" t="s">
        <v>73</v>
      </c>
      <c r="H202" s="2" t="s">
        <v>702</v>
      </c>
      <c r="I202" s="2" t="s">
        <v>336</v>
      </c>
      <c r="J202" s="15" t="n">
        <v>21</v>
      </c>
      <c r="K202" s="15" t="n">
        <v>2</v>
      </c>
      <c r="L202" s="2" t="s">
        <v>967</v>
      </c>
      <c r="M202" s="2" t="str">
        <f aca="false">IF(J202="","",IF(J202&lt;=4,"≤4",IF(J202&lt;=10,"5–10",IF(J202&lt;=20,"11–20",IF(J202&lt;=50,"21–50",IF(J202&lt;=250,"51–250","251+"))))))</f>
        <v>21–50</v>
      </c>
      <c r="N202" s="2"/>
      <c r="O202" s="2"/>
      <c r="P202" s="2"/>
      <c r="Q202" s="2"/>
      <c r="R202" s="16"/>
      <c r="S202" s="2"/>
      <c r="T202" s="16"/>
      <c r="U202" s="2"/>
      <c r="V202" s="16"/>
      <c r="W202" s="2"/>
      <c r="X202" s="2"/>
      <c r="Y202" s="2"/>
      <c r="Z202" s="17" t="s">
        <v>543</v>
      </c>
    </row>
    <row r="203" customFormat="false" ht="23.85" hidden="false" customHeight="false" outlineLevel="0" collapsed="false">
      <c r="A203" s="2" t="s">
        <v>1451</v>
      </c>
      <c r="B203" s="2" t="s">
        <v>1452</v>
      </c>
      <c r="C203" s="2" t="s">
        <v>1452</v>
      </c>
      <c r="D203" s="2" t="s">
        <v>200</v>
      </c>
      <c r="E203" s="2" t="s">
        <v>100</v>
      </c>
      <c r="F203" s="2" t="s">
        <v>1453</v>
      </c>
      <c r="G203" s="2" t="s">
        <v>73</v>
      </c>
      <c r="H203" s="2" t="s">
        <v>702</v>
      </c>
      <c r="I203" s="2" t="s">
        <v>364</v>
      </c>
      <c r="J203" s="15" t="n">
        <v>20</v>
      </c>
      <c r="K203" s="15" t="n">
        <v>2</v>
      </c>
      <c r="L203" s="2" t="s">
        <v>850</v>
      </c>
      <c r="M203" s="2" t="str">
        <f aca="false">IF(J203="","",IF(J203&lt;=4,"≤4",IF(J203&lt;=10,"5–10",IF(J203&lt;=20,"11–20",IF(J203&lt;=50,"21–50",IF(J203&lt;=250,"51–250","251+"))))))</f>
        <v>11–20</v>
      </c>
      <c r="N203" s="2" t="s">
        <v>1454</v>
      </c>
      <c r="O203" s="2"/>
      <c r="P203" s="2"/>
      <c r="Q203" s="2"/>
      <c r="R203" s="16"/>
      <c r="S203" s="2"/>
      <c r="T203" s="16"/>
      <c r="U203" s="2"/>
      <c r="V203" s="16"/>
      <c r="W203" s="2"/>
      <c r="X203" s="2"/>
      <c r="Y203" s="2"/>
      <c r="Z203" s="17" t="s">
        <v>543</v>
      </c>
    </row>
    <row r="204" customFormat="false" ht="23.85" hidden="false" customHeight="false" outlineLevel="0" collapsed="false">
      <c r="A204" s="2" t="s">
        <v>1455</v>
      </c>
      <c r="B204" s="2" t="s">
        <v>1456</v>
      </c>
      <c r="C204" s="2" t="s">
        <v>1456</v>
      </c>
      <c r="D204" s="2" t="s">
        <v>180</v>
      </c>
      <c r="E204" s="2" t="s">
        <v>105</v>
      </c>
      <c r="F204" s="2" t="s">
        <v>1457</v>
      </c>
      <c r="G204" s="2" t="s">
        <v>73</v>
      </c>
      <c r="H204" s="2" t="s">
        <v>702</v>
      </c>
      <c r="I204" s="2" t="s">
        <v>364</v>
      </c>
      <c r="J204" s="15" t="n">
        <v>19</v>
      </c>
      <c r="K204" s="15" t="n">
        <v>3</v>
      </c>
      <c r="L204" s="2" t="s">
        <v>946</v>
      </c>
      <c r="M204" s="2" t="str">
        <f aca="false">IF(J204="","",IF(J204&lt;=4,"≤4",IF(J204&lt;=10,"5–10",IF(J204&lt;=20,"11–20",IF(J204&lt;=50,"21–50",IF(J204&lt;=250,"51–250","251+"))))))</f>
        <v>11–20</v>
      </c>
      <c r="N204" s="2"/>
      <c r="O204" s="2"/>
      <c r="P204" s="2"/>
      <c r="Q204" s="2"/>
      <c r="R204" s="16"/>
      <c r="S204" s="2"/>
      <c r="T204" s="16"/>
      <c r="U204" s="2"/>
      <c r="V204" s="16"/>
      <c r="W204" s="2"/>
      <c r="X204" s="2"/>
      <c r="Y204" s="2"/>
      <c r="Z204" s="17" t="s">
        <v>543</v>
      </c>
    </row>
    <row r="205" customFormat="false" ht="23.85" hidden="false" customHeight="false" outlineLevel="0" collapsed="false">
      <c r="A205" s="2" t="s">
        <v>1458</v>
      </c>
      <c r="B205" s="2" t="s">
        <v>1459</v>
      </c>
      <c r="C205" s="2" t="s">
        <v>1459</v>
      </c>
      <c r="D205" s="2" t="s">
        <v>178</v>
      </c>
      <c r="E205" s="2" t="s">
        <v>107</v>
      </c>
      <c r="F205" s="2" t="s">
        <v>1460</v>
      </c>
      <c r="G205" s="2" t="s">
        <v>73</v>
      </c>
      <c r="H205" s="2" t="s">
        <v>702</v>
      </c>
      <c r="I205" s="2" t="s">
        <v>364</v>
      </c>
      <c r="J205" s="15" t="n">
        <v>17</v>
      </c>
      <c r="K205" s="15" t="n">
        <v>2</v>
      </c>
      <c r="L205" s="2" t="s">
        <v>1461</v>
      </c>
      <c r="M205" s="2" t="str">
        <f aca="false">IF(J205="","",IF(J205&lt;=4,"≤4",IF(J205&lt;=10,"5–10",IF(J205&lt;=20,"11–20",IF(J205&lt;=50,"21–50",IF(J205&lt;=250,"51–250","251+"))))))</f>
        <v>11–20</v>
      </c>
      <c r="N205" s="2" t="s">
        <v>1462</v>
      </c>
      <c r="O205" s="2"/>
      <c r="P205" s="2"/>
      <c r="Q205" s="2"/>
      <c r="R205" s="16"/>
      <c r="S205" s="2"/>
      <c r="T205" s="16"/>
      <c r="U205" s="2"/>
      <c r="V205" s="16"/>
      <c r="W205" s="2"/>
      <c r="X205" s="2"/>
      <c r="Y205" s="2"/>
      <c r="Z205" s="17" t="s">
        <v>543</v>
      </c>
    </row>
    <row r="206" customFormat="false" ht="23.85" hidden="false" customHeight="false" outlineLevel="0" collapsed="false">
      <c r="A206" s="2" t="s">
        <v>1463</v>
      </c>
      <c r="B206" s="2" t="s">
        <v>1464</v>
      </c>
      <c r="C206" s="2" t="s">
        <v>1464</v>
      </c>
      <c r="D206" s="2" t="s">
        <v>215</v>
      </c>
      <c r="E206" s="2" t="s">
        <v>105</v>
      </c>
      <c r="F206" s="2" t="s">
        <v>1465</v>
      </c>
      <c r="G206" s="2" t="s">
        <v>73</v>
      </c>
      <c r="H206" s="2" t="s">
        <v>702</v>
      </c>
      <c r="I206" s="2" t="s">
        <v>336</v>
      </c>
      <c r="J206" s="15" t="n">
        <v>13</v>
      </c>
      <c r="K206" s="15" t="n">
        <v>3</v>
      </c>
      <c r="L206" s="2" t="s">
        <v>1466</v>
      </c>
      <c r="M206" s="2" t="str">
        <f aca="false">IF(J206="","",IF(J206&lt;=4,"≤4",IF(J206&lt;=10,"5–10",IF(J206&lt;=20,"11–20",IF(J206&lt;=50,"21–50",IF(J206&lt;=250,"51–250","251+"))))))</f>
        <v>11–20</v>
      </c>
      <c r="N206" s="2"/>
      <c r="O206" s="2"/>
      <c r="P206" s="2"/>
      <c r="Q206" s="2"/>
      <c r="R206" s="16"/>
      <c r="S206" s="2"/>
      <c r="T206" s="16"/>
      <c r="U206" s="2"/>
      <c r="V206" s="16"/>
      <c r="W206" s="2"/>
      <c r="X206" s="2"/>
      <c r="Y206" s="2"/>
      <c r="Z206" s="17" t="s">
        <v>543</v>
      </c>
    </row>
    <row r="207" customFormat="false" ht="23.85" hidden="false" customHeight="false" outlineLevel="0" collapsed="false">
      <c r="A207" s="2" t="s">
        <v>1467</v>
      </c>
      <c r="B207" s="2" t="s">
        <v>1468</v>
      </c>
      <c r="C207" s="2" t="s">
        <v>1469</v>
      </c>
      <c r="D207" s="2" t="s">
        <v>178</v>
      </c>
      <c r="E207" s="2" t="s">
        <v>107</v>
      </c>
      <c r="F207" s="2" t="s">
        <v>1470</v>
      </c>
      <c r="G207" s="2" t="s">
        <v>73</v>
      </c>
      <c r="H207" s="2" t="s">
        <v>702</v>
      </c>
      <c r="I207" s="2" t="s">
        <v>336</v>
      </c>
      <c r="J207" s="15" t="n">
        <v>12</v>
      </c>
      <c r="K207" s="15" t="n">
        <v>1</v>
      </c>
      <c r="L207" s="2" t="s">
        <v>1471</v>
      </c>
      <c r="M207" s="2" t="str">
        <f aca="false">IF(J207="","",IF(J207&lt;=4,"≤4",IF(J207&lt;=10,"5–10",IF(J207&lt;=20,"11–20",IF(J207&lt;=50,"21–50",IF(J207&lt;=250,"51–250","251+"))))))</f>
        <v>11–20</v>
      </c>
      <c r="N207" s="2" t="s">
        <v>1472</v>
      </c>
      <c r="O207" s="2"/>
      <c r="P207" s="2"/>
      <c r="Q207" s="2"/>
      <c r="R207" s="16"/>
      <c r="S207" s="2"/>
      <c r="T207" s="16"/>
      <c r="U207" s="2"/>
      <c r="V207" s="16"/>
      <c r="W207" s="2"/>
      <c r="X207" s="2"/>
      <c r="Y207" s="2"/>
      <c r="Z207" s="17" t="s">
        <v>543</v>
      </c>
    </row>
    <row r="208" customFormat="false" ht="23.85" hidden="false" customHeight="false" outlineLevel="0" collapsed="false">
      <c r="A208" s="2" t="s">
        <v>1473</v>
      </c>
      <c r="B208" s="2" t="s">
        <v>1474</v>
      </c>
      <c r="C208" s="2" t="s">
        <v>1474</v>
      </c>
      <c r="D208" s="2" t="s">
        <v>198</v>
      </c>
      <c r="E208" s="2" t="s">
        <v>100</v>
      </c>
      <c r="F208" s="2" t="s">
        <v>1475</v>
      </c>
      <c r="G208" s="2" t="s">
        <v>73</v>
      </c>
      <c r="H208" s="2" t="s">
        <v>702</v>
      </c>
      <c r="I208" s="2" t="s">
        <v>364</v>
      </c>
      <c r="J208" s="15" t="n">
        <v>12</v>
      </c>
      <c r="K208" s="15" t="n">
        <v>1</v>
      </c>
      <c r="L208" s="2" t="s">
        <v>934</v>
      </c>
      <c r="M208" s="2" t="str">
        <f aca="false">IF(J208="","",IF(J208&lt;=4,"≤4",IF(J208&lt;=10,"5–10",IF(J208&lt;=20,"11–20",IF(J208&lt;=50,"21–50",IF(J208&lt;=250,"51–250","251+"))))))</f>
        <v>11–20</v>
      </c>
      <c r="N208" s="2"/>
      <c r="O208" s="2"/>
      <c r="P208" s="2"/>
      <c r="Q208" s="2"/>
      <c r="R208" s="16"/>
      <c r="S208" s="2"/>
      <c r="T208" s="16"/>
      <c r="U208" s="2"/>
      <c r="V208" s="16"/>
      <c r="W208" s="2"/>
      <c r="X208" s="2"/>
      <c r="Y208" s="2"/>
      <c r="Z208" s="17" t="s">
        <v>543</v>
      </c>
    </row>
    <row r="209" customFormat="false" ht="23.85" hidden="false" customHeight="false" outlineLevel="0" collapsed="false">
      <c r="A209" s="2" t="s">
        <v>1476</v>
      </c>
      <c r="B209" s="2" t="s">
        <v>1477</v>
      </c>
      <c r="C209" s="2" t="s">
        <v>1478</v>
      </c>
      <c r="D209" s="2" t="s">
        <v>217</v>
      </c>
      <c r="E209" s="2" t="s">
        <v>104</v>
      </c>
      <c r="F209" s="2" t="s">
        <v>1479</v>
      </c>
      <c r="G209" s="2" t="s">
        <v>72</v>
      </c>
      <c r="H209" s="2" t="s">
        <v>1480</v>
      </c>
      <c r="I209" s="2" t="s">
        <v>364</v>
      </c>
      <c r="J209" s="15" t="n">
        <v>10</v>
      </c>
      <c r="K209" s="15" t="n">
        <v>1</v>
      </c>
      <c r="L209" s="2" t="s">
        <v>1481</v>
      </c>
      <c r="M209" s="2" t="str">
        <f aca="false">IF(J209="","",IF(J209&lt;=4,"≤4",IF(J209&lt;=10,"5–10",IF(J209&lt;=20,"11–20",IF(J209&lt;=50,"21–50",IF(J209&lt;=250,"51–250","251+"))))))</f>
        <v>5–10</v>
      </c>
      <c r="N209" s="2"/>
      <c r="O209" s="2"/>
      <c r="P209" s="2"/>
      <c r="Q209" s="2"/>
      <c r="R209" s="16"/>
      <c r="S209" s="2"/>
      <c r="T209" s="16"/>
      <c r="U209" s="2"/>
      <c r="V209" s="16"/>
      <c r="W209" s="2"/>
      <c r="X209" s="2"/>
      <c r="Y209" s="2"/>
      <c r="Z209" s="17" t="s">
        <v>543</v>
      </c>
    </row>
    <row r="210" customFormat="false" ht="35.05" hidden="false" customHeight="false" outlineLevel="0" collapsed="false">
      <c r="A210" s="2" t="s">
        <v>1482</v>
      </c>
      <c r="B210" s="2" t="s">
        <v>1483</v>
      </c>
      <c r="C210" s="2" t="s">
        <v>1484</v>
      </c>
      <c r="D210" s="2" t="s">
        <v>194</v>
      </c>
      <c r="E210" s="2" t="s">
        <v>99</v>
      </c>
      <c r="F210" s="2" t="s">
        <v>1485</v>
      </c>
      <c r="G210" s="2" t="s">
        <v>74</v>
      </c>
      <c r="H210" s="2" t="s">
        <v>1486</v>
      </c>
      <c r="I210" s="2" t="s">
        <v>336</v>
      </c>
      <c r="J210" s="15" t="n">
        <v>790</v>
      </c>
      <c r="K210" s="15"/>
      <c r="L210" s="2" t="s">
        <v>1015</v>
      </c>
      <c r="M210" s="2" t="str">
        <f aca="false">IF(J210="","",IF(J210&lt;=4,"≤4",IF(J210&lt;=10,"5–10",IF(J210&lt;=20,"11–20",IF(J210&lt;=50,"21–50",IF(J210&lt;=250,"51–250","251+"))))))</f>
        <v>251+</v>
      </c>
      <c r="N210" s="2" t="s">
        <v>1487</v>
      </c>
      <c r="O210" s="2"/>
      <c r="P210" s="2"/>
      <c r="Q210" s="2"/>
      <c r="R210" s="16"/>
      <c r="S210" s="2"/>
      <c r="T210" s="16"/>
      <c r="U210" s="2"/>
      <c r="V210" s="16"/>
      <c r="W210" s="2"/>
      <c r="X210" s="2"/>
      <c r="Y210" s="2" t="s">
        <v>1488</v>
      </c>
      <c r="Z210" s="17" t="s">
        <v>451</v>
      </c>
    </row>
    <row r="211" customFormat="false" ht="35.05" hidden="false" customHeight="false" outlineLevel="0" collapsed="false">
      <c r="A211" s="2" t="s">
        <v>1489</v>
      </c>
      <c r="B211" s="2" t="s">
        <v>1490</v>
      </c>
      <c r="C211" s="2" t="s">
        <v>1491</v>
      </c>
      <c r="D211" s="2" t="s">
        <v>212</v>
      </c>
      <c r="E211" s="2" t="s">
        <v>101</v>
      </c>
      <c r="F211" s="2" t="s">
        <v>1492</v>
      </c>
      <c r="G211" s="2" t="s">
        <v>74</v>
      </c>
      <c r="H211" s="2" t="s">
        <v>1493</v>
      </c>
      <c r="I211" s="2" t="s">
        <v>336</v>
      </c>
      <c r="J211" s="15" t="n">
        <v>682</v>
      </c>
      <c r="K211" s="15" t="n">
        <v>682</v>
      </c>
      <c r="L211" s="2" t="s">
        <v>1044</v>
      </c>
      <c r="M211" s="2" t="str">
        <f aca="false">IF(J211="","",IF(J211&lt;=4,"≤4",IF(J211&lt;=10,"5–10",IF(J211&lt;=20,"11–20",IF(J211&lt;=50,"21–50",IF(J211&lt;=250,"51–250","251+"))))))</f>
        <v>251+</v>
      </c>
      <c r="N211" s="2" t="s">
        <v>1494</v>
      </c>
      <c r="O211" s="2"/>
      <c r="P211" s="2"/>
      <c r="Q211" s="2"/>
      <c r="R211" s="16"/>
      <c r="S211" s="2"/>
      <c r="T211" s="16"/>
      <c r="U211" s="2"/>
      <c r="V211" s="16"/>
      <c r="W211" s="2"/>
      <c r="X211" s="2"/>
      <c r="Y211" s="2"/>
      <c r="Z211" s="17" t="s">
        <v>451</v>
      </c>
    </row>
    <row r="212" customFormat="false" ht="23.85" hidden="false" customHeight="false" outlineLevel="0" collapsed="false">
      <c r="A212" s="2" t="s">
        <v>1495</v>
      </c>
      <c r="B212" s="2" t="s">
        <v>1496</v>
      </c>
      <c r="C212" s="2" t="s">
        <v>1497</v>
      </c>
      <c r="D212" s="2" t="s">
        <v>183</v>
      </c>
      <c r="E212" s="2" t="s">
        <v>103</v>
      </c>
      <c r="F212" s="2" t="s">
        <v>1498</v>
      </c>
      <c r="G212" s="2" t="s">
        <v>74</v>
      </c>
      <c r="H212" s="2" t="s">
        <v>1499</v>
      </c>
      <c r="I212" s="2" t="s">
        <v>336</v>
      </c>
      <c r="J212" s="15" t="n">
        <v>437</v>
      </c>
      <c r="K212" s="15"/>
      <c r="L212" s="2"/>
      <c r="M212" s="2" t="str">
        <f aca="false">IF(J212="","",IF(J212&lt;=4,"≤4",IF(J212&lt;=10,"5–10",IF(J212&lt;=20,"11–20",IF(J212&lt;=50,"21–50",IF(J212&lt;=250,"51–250","251+"))))))</f>
        <v>251+</v>
      </c>
      <c r="N212" s="2" t="s">
        <v>1500</v>
      </c>
      <c r="O212" s="2"/>
      <c r="P212" s="2"/>
      <c r="Q212" s="2"/>
      <c r="R212" s="16"/>
      <c r="S212" s="2"/>
      <c r="T212" s="16"/>
      <c r="U212" s="2"/>
      <c r="V212" s="16"/>
      <c r="W212" s="2"/>
      <c r="X212" s="2"/>
      <c r="Y212" s="2"/>
      <c r="Z212" s="17" t="s">
        <v>451</v>
      </c>
    </row>
    <row r="213" customFormat="false" ht="23.85" hidden="false" customHeight="false" outlineLevel="0" collapsed="false">
      <c r="A213" s="2" t="s">
        <v>1501</v>
      </c>
      <c r="B213" s="2" t="s">
        <v>1502</v>
      </c>
      <c r="C213" s="2" t="s">
        <v>1503</v>
      </c>
      <c r="D213" s="2" t="s">
        <v>183</v>
      </c>
      <c r="E213" s="2" t="s">
        <v>103</v>
      </c>
      <c r="F213" s="2" t="s">
        <v>1504</v>
      </c>
      <c r="G213" s="2" t="s">
        <v>74</v>
      </c>
      <c r="H213" s="2" t="s">
        <v>1505</v>
      </c>
      <c r="I213" s="2" t="s">
        <v>336</v>
      </c>
      <c r="J213" s="15" t="n">
        <v>370</v>
      </c>
      <c r="K213" s="15"/>
      <c r="L213" s="2"/>
      <c r="M213" s="2" t="str">
        <f aca="false">IF(J213="","",IF(J213&lt;=4,"≤4",IF(J213&lt;=10,"5–10",IF(J213&lt;=20,"11–20",IF(J213&lt;=50,"21–50",IF(J213&lt;=250,"51–250","251+"))))))</f>
        <v>251+</v>
      </c>
      <c r="N213" s="2"/>
      <c r="O213" s="2"/>
      <c r="P213" s="2"/>
      <c r="Q213" s="2"/>
      <c r="R213" s="16"/>
      <c r="S213" s="2"/>
      <c r="T213" s="16"/>
      <c r="U213" s="2"/>
      <c r="V213" s="16"/>
      <c r="W213" s="2"/>
      <c r="X213" s="2"/>
      <c r="Y213" s="2"/>
      <c r="Z213" s="17" t="s">
        <v>451</v>
      </c>
    </row>
    <row r="214" customFormat="false" ht="23.85" hidden="false" customHeight="false" outlineLevel="0" collapsed="false">
      <c r="A214" s="2" t="s">
        <v>1506</v>
      </c>
      <c r="B214" s="2" t="s">
        <v>1507</v>
      </c>
      <c r="C214" s="2" t="s">
        <v>1507</v>
      </c>
      <c r="D214" s="2" t="s">
        <v>211</v>
      </c>
      <c r="E214" s="2" t="s">
        <v>103</v>
      </c>
      <c r="F214" s="2" t="s">
        <v>1508</v>
      </c>
      <c r="G214" s="2" t="s">
        <v>74</v>
      </c>
      <c r="H214" s="2" t="s">
        <v>1509</v>
      </c>
      <c r="I214" s="2" t="s">
        <v>336</v>
      </c>
      <c r="J214" s="15" t="n">
        <v>220</v>
      </c>
      <c r="K214" s="15"/>
      <c r="L214" s="2" t="s">
        <v>1015</v>
      </c>
      <c r="M214" s="2" t="str">
        <f aca="false">IF(J214="","",IF(J214&lt;=4,"≤4",IF(J214&lt;=10,"5–10",IF(J214&lt;=20,"11–20",IF(J214&lt;=50,"21–50",IF(J214&lt;=250,"51–250","251+"))))))</f>
        <v>51–250</v>
      </c>
      <c r="N214" s="2"/>
      <c r="O214" s="2"/>
      <c r="P214" s="2"/>
      <c r="Q214" s="2"/>
      <c r="R214" s="16"/>
      <c r="S214" s="2"/>
      <c r="T214" s="16"/>
      <c r="U214" s="2"/>
      <c r="V214" s="16"/>
      <c r="W214" s="2"/>
      <c r="X214" s="2"/>
      <c r="Y214" s="2"/>
      <c r="Z214" s="17" t="s">
        <v>451</v>
      </c>
    </row>
    <row r="215" customFormat="false" ht="15" hidden="false" customHeight="false" outlineLevel="0" collapsed="false">
      <c r="A215" s="2" t="s">
        <v>1510</v>
      </c>
      <c r="B215" s="2" t="s">
        <v>1511</v>
      </c>
      <c r="C215" s="2" t="s">
        <v>859</v>
      </c>
      <c r="D215" s="2" t="s">
        <v>196</v>
      </c>
      <c r="E215" s="2" t="s">
        <v>105</v>
      </c>
      <c r="F215" s="2" t="s">
        <v>1512</v>
      </c>
      <c r="G215" s="2" t="s">
        <v>74</v>
      </c>
      <c r="H215" s="2" t="s">
        <v>702</v>
      </c>
      <c r="I215" s="2" t="s">
        <v>336</v>
      </c>
      <c r="J215" s="15" t="n">
        <v>218</v>
      </c>
      <c r="K215" s="15" t="n">
        <v>34</v>
      </c>
      <c r="L215" s="2" t="s">
        <v>1513</v>
      </c>
      <c r="M215" s="2" t="str">
        <f aca="false">IF(J215="","",IF(J215&lt;=4,"≤4",IF(J215&lt;=10,"5–10",IF(J215&lt;=20,"11–20",IF(J215&lt;=50,"21–50",IF(J215&lt;=250,"51–250","251+"))))))</f>
        <v>51–250</v>
      </c>
      <c r="N215" s="2"/>
      <c r="O215" s="2"/>
      <c r="P215" s="2"/>
      <c r="Q215" s="2"/>
      <c r="R215" s="16"/>
      <c r="S215" s="2"/>
      <c r="T215" s="16"/>
      <c r="U215" s="2"/>
      <c r="V215" s="16"/>
      <c r="W215" s="2"/>
      <c r="X215" s="2"/>
      <c r="Y215" s="2"/>
      <c r="Z215" s="17" t="s">
        <v>451</v>
      </c>
    </row>
    <row r="216" customFormat="false" ht="23.85" hidden="false" customHeight="false" outlineLevel="0" collapsed="false">
      <c r="A216" s="2" t="s">
        <v>1514</v>
      </c>
      <c r="B216" s="2" t="s">
        <v>1515</v>
      </c>
      <c r="C216" s="2" t="s">
        <v>1516</v>
      </c>
      <c r="D216" s="2" t="s">
        <v>212</v>
      </c>
      <c r="E216" s="2" t="s">
        <v>101</v>
      </c>
      <c r="F216" s="2" t="s">
        <v>1517</v>
      </c>
      <c r="G216" s="2" t="s">
        <v>74</v>
      </c>
      <c r="H216" s="2" t="s">
        <v>495</v>
      </c>
      <c r="I216" s="2" t="s">
        <v>336</v>
      </c>
      <c r="J216" s="15" t="n">
        <v>199</v>
      </c>
      <c r="K216" s="15" t="n">
        <v>197</v>
      </c>
      <c r="L216" s="2" t="s">
        <v>1518</v>
      </c>
      <c r="M216" s="2" t="str">
        <f aca="false">IF(J216="","",IF(J216&lt;=4,"≤4",IF(J216&lt;=10,"5–10",IF(J216&lt;=20,"11–20",IF(J216&lt;=50,"21–50",IF(J216&lt;=250,"51–250","251+"))))))</f>
        <v>51–250</v>
      </c>
      <c r="N216" s="2" t="s">
        <v>438</v>
      </c>
      <c r="O216" s="2" t="s">
        <v>1519</v>
      </c>
      <c r="P216" s="2"/>
      <c r="Q216" s="2"/>
      <c r="R216" s="16"/>
      <c r="S216" s="2"/>
      <c r="T216" s="16"/>
      <c r="U216" s="2"/>
      <c r="V216" s="16"/>
      <c r="W216" s="2" t="s">
        <v>1520</v>
      </c>
      <c r="X216" s="2"/>
      <c r="Y216" s="2"/>
      <c r="Z216" s="17" t="s">
        <v>543</v>
      </c>
    </row>
    <row r="217" customFormat="false" ht="23.85" hidden="false" customHeight="false" outlineLevel="0" collapsed="false">
      <c r="A217" s="2" t="s">
        <v>1521</v>
      </c>
      <c r="B217" s="2" t="s">
        <v>1522</v>
      </c>
      <c r="C217" s="2" t="s">
        <v>1523</v>
      </c>
      <c r="D217" s="2" t="s">
        <v>196</v>
      </c>
      <c r="E217" s="2" t="s">
        <v>106</v>
      </c>
      <c r="F217" s="2" t="s">
        <v>1524</v>
      </c>
      <c r="G217" s="2" t="s">
        <v>74</v>
      </c>
      <c r="H217" s="2" t="s">
        <v>553</v>
      </c>
      <c r="I217" s="2" t="s">
        <v>336</v>
      </c>
      <c r="J217" s="15" t="n">
        <v>248</v>
      </c>
      <c r="K217" s="15" t="n">
        <v>246</v>
      </c>
      <c r="L217" s="2" t="s">
        <v>1525</v>
      </c>
      <c r="M217" s="2" t="str">
        <f aca="false">IF(J217="","",IF(J217&lt;=4,"≤4",IF(J217&lt;=10,"5–10",IF(J217&lt;=20,"11–20",IF(J217&lt;=50,"21–50",IF(J217&lt;=250,"51–250","251+"))))))</f>
        <v>51–250</v>
      </c>
      <c r="N217" s="2" t="s">
        <v>385</v>
      </c>
      <c r="O217" s="2" t="s">
        <v>603</v>
      </c>
      <c r="P217" s="2"/>
      <c r="Q217" s="2"/>
      <c r="R217" s="16"/>
      <c r="S217" s="2"/>
      <c r="T217" s="16"/>
      <c r="U217" s="2"/>
      <c r="V217" s="16"/>
      <c r="W217" s="2" t="s">
        <v>1526</v>
      </c>
      <c r="X217" s="2"/>
      <c r="Y217" s="2" t="s">
        <v>1527</v>
      </c>
      <c r="Z217" s="17" t="s">
        <v>543</v>
      </c>
    </row>
    <row r="218" customFormat="false" ht="23.85" hidden="false" customHeight="false" outlineLevel="0" collapsed="false">
      <c r="A218" s="2" t="s">
        <v>1528</v>
      </c>
      <c r="B218" s="2" t="s">
        <v>1529</v>
      </c>
      <c r="C218" s="2" t="s">
        <v>1530</v>
      </c>
      <c r="D218" s="2" t="s">
        <v>206</v>
      </c>
      <c r="E218" s="2" t="s">
        <v>107</v>
      </c>
      <c r="F218" s="2" t="s">
        <v>1531</v>
      </c>
      <c r="G218" s="2" t="s">
        <v>73</v>
      </c>
      <c r="H218" s="2" t="s">
        <v>553</v>
      </c>
      <c r="I218" s="2" t="s">
        <v>336</v>
      </c>
      <c r="J218" s="15" t="n">
        <v>124</v>
      </c>
      <c r="K218" s="15" t="n">
        <v>124</v>
      </c>
      <c r="L218" s="2" t="s">
        <v>1532</v>
      </c>
      <c r="M218" s="2" t="str">
        <f aca="false">IF(J218="","",IF(J218&lt;=4,"≤4",IF(J218&lt;=10,"5–10",IF(J218&lt;=20,"11–20",IF(J218&lt;=50,"21–50",IF(J218&lt;=250,"51–250","251+"))))))</f>
        <v>51–250</v>
      </c>
      <c r="N218" s="2" t="s">
        <v>438</v>
      </c>
      <c r="O218" s="2" t="s">
        <v>1533</v>
      </c>
      <c r="P218" s="2"/>
      <c r="Q218" s="2"/>
      <c r="R218" s="16"/>
      <c r="S218" s="2"/>
      <c r="T218" s="16"/>
      <c r="U218" s="2"/>
      <c r="V218" s="16"/>
      <c r="W218" s="2" t="s">
        <v>1534</v>
      </c>
      <c r="X218" s="2"/>
      <c r="Y218" s="2" t="s">
        <v>1535</v>
      </c>
      <c r="Z218" s="17" t="s">
        <v>543</v>
      </c>
    </row>
    <row r="219" customFormat="false" ht="15" hidden="false" customHeight="false" outlineLevel="0" collapsed="false">
      <c r="A219" s="2" t="s">
        <v>1536</v>
      </c>
      <c r="B219" s="2" t="s">
        <v>1537</v>
      </c>
      <c r="C219" s="2" t="s">
        <v>1537</v>
      </c>
      <c r="D219" s="2" t="s">
        <v>211</v>
      </c>
      <c r="E219" s="2" t="s">
        <v>103</v>
      </c>
      <c r="F219" s="2" t="s">
        <v>1538</v>
      </c>
      <c r="G219" s="2" t="s">
        <v>74</v>
      </c>
      <c r="H219" s="2" t="s">
        <v>1539</v>
      </c>
      <c r="I219" s="2" t="s">
        <v>336</v>
      </c>
      <c r="J219" s="15" t="n">
        <v>120</v>
      </c>
      <c r="K219" s="15"/>
      <c r="L219" s="2"/>
      <c r="M219" s="2" t="str">
        <f aca="false">IF(J219="","",IF(J219&lt;=4,"≤4",IF(J219&lt;=10,"5–10",IF(J219&lt;=20,"11–20",IF(J219&lt;=50,"21–50",IF(J219&lt;=250,"51–250","251+"))))))</f>
        <v>51–250</v>
      </c>
      <c r="N219" s="2"/>
      <c r="O219" s="2"/>
      <c r="P219" s="2"/>
      <c r="Q219" s="2"/>
      <c r="R219" s="16"/>
      <c r="S219" s="2"/>
      <c r="T219" s="16"/>
      <c r="U219" s="2"/>
      <c r="V219" s="16"/>
      <c r="W219" s="2"/>
      <c r="X219" s="2"/>
      <c r="Y219" s="2"/>
      <c r="Z219" s="17" t="s">
        <v>451</v>
      </c>
    </row>
    <row r="220" customFormat="false" ht="23.85" hidden="false" customHeight="false" outlineLevel="0" collapsed="false">
      <c r="A220" s="2" t="s">
        <v>1540</v>
      </c>
      <c r="B220" s="2" t="s">
        <v>1541</v>
      </c>
      <c r="C220" s="2" t="s">
        <v>1541</v>
      </c>
      <c r="D220" s="2" t="s">
        <v>201</v>
      </c>
      <c r="E220" s="2" t="s">
        <v>104</v>
      </c>
      <c r="F220" s="2" t="s">
        <v>1542</v>
      </c>
      <c r="G220" s="2" t="s">
        <v>74</v>
      </c>
      <c r="H220" s="2" t="s">
        <v>702</v>
      </c>
      <c r="I220" s="2"/>
      <c r="J220" s="15" t="n">
        <v>101</v>
      </c>
      <c r="K220" s="15" t="n">
        <v>18</v>
      </c>
      <c r="L220" s="2" t="s">
        <v>1543</v>
      </c>
      <c r="M220" s="2" t="str">
        <f aca="false">IF(J220="","",IF(J220&lt;=4,"≤4",IF(J220&lt;=10,"5–10",IF(J220&lt;=20,"11–20",IF(J220&lt;=50,"21–50",IF(J220&lt;=250,"51–250","251+"))))))</f>
        <v>51–250</v>
      </c>
      <c r="N220" s="2"/>
      <c r="O220" s="2"/>
      <c r="P220" s="2"/>
      <c r="Q220" s="2"/>
      <c r="R220" s="16"/>
      <c r="S220" s="2"/>
      <c r="T220" s="16"/>
      <c r="U220" s="2"/>
      <c r="V220" s="16"/>
      <c r="W220" s="2"/>
      <c r="X220" s="2"/>
      <c r="Y220" s="2"/>
      <c r="Z220" s="17" t="s">
        <v>451</v>
      </c>
    </row>
    <row r="221" customFormat="false" ht="15" hidden="false" customHeight="false" outlineLevel="0" collapsed="false">
      <c r="A221" s="2" t="s">
        <v>1544</v>
      </c>
      <c r="B221" s="2" t="s">
        <v>1545</v>
      </c>
      <c r="C221" s="2" t="s">
        <v>1545</v>
      </c>
      <c r="D221" s="2" t="s">
        <v>196</v>
      </c>
      <c r="E221" s="2" t="s">
        <v>106</v>
      </c>
      <c r="F221" s="2" t="s">
        <v>1538</v>
      </c>
      <c r="G221" s="2" t="s">
        <v>74</v>
      </c>
      <c r="H221" s="2" t="s">
        <v>1546</v>
      </c>
      <c r="I221" s="2" t="s">
        <v>336</v>
      </c>
      <c r="J221" s="15" t="n">
        <v>70</v>
      </c>
      <c r="K221" s="15"/>
      <c r="L221" s="2"/>
      <c r="M221" s="2" t="str">
        <f aca="false">IF(J221="","",IF(J221&lt;=4,"≤4",IF(J221&lt;=10,"5–10",IF(J221&lt;=20,"11–20",IF(J221&lt;=50,"21–50",IF(J221&lt;=250,"51–250","251+"))))))</f>
        <v>51–250</v>
      </c>
      <c r="N221" s="2"/>
      <c r="O221" s="2"/>
      <c r="P221" s="2"/>
      <c r="Q221" s="2"/>
      <c r="R221" s="16"/>
      <c r="S221" s="2"/>
      <c r="T221" s="16"/>
      <c r="U221" s="2"/>
      <c r="V221" s="16"/>
      <c r="W221" s="2"/>
      <c r="X221" s="2"/>
      <c r="Y221" s="2"/>
      <c r="Z221" s="17" t="s">
        <v>451</v>
      </c>
    </row>
    <row r="222" customFormat="false" ht="15" hidden="false" customHeight="false" outlineLevel="0" collapsed="false">
      <c r="A222" s="2" t="s">
        <v>1547</v>
      </c>
      <c r="B222" s="2" t="s">
        <v>1548</v>
      </c>
      <c r="C222" s="2" t="s">
        <v>1548</v>
      </c>
      <c r="D222" s="2" t="s">
        <v>205</v>
      </c>
      <c r="E222" s="2" t="s">
        <v>106</v>
      </c>
      <c r="F222" s="2" t="s">
        <v>1512</v>
      </c>
      <c r="G222" s="2" t="s">
        <v>74</v>
      </c>
      <c r="H222" s="2" t="s">
        <v>1549</v>
      </c>
      <c r="I222" s="2"/>
      <c r="J222" s="15" t="n">
        <v>47</v>
      </c>
      <c r="K222" s="15"/>
      <c r="L222" s="2"/>
      <c r="M222" s="2" t="str">
        <f aca="false">IF(J222="","",IF(J222&lt;=4,"≤4",IF(J222&lt;=10,"5–10",IF(J222&lt;=20,"11–20",IF(J222&lt;=50,"21–50",IF(J222&lt;=250,"51–250","251+"))))))</f>
        <v>21–50</v>
      </c>
      <c r="N222" s="2"/>
      <c r="O222" s="2"/>
      <c r="P222" s="2"/>
      <c r="Q222" s="2"/>
      <c r="R222" s="16"/>
      <c r="S222" s="2"/>
      <c r="T222" s="16"/>
      <c r="U222" s="2"/>
      <c r="V222" s="16"/>
      <c r="W222" s="2"/>
      <c r="X222" s="2"/>
      <c r="Y222" s="2"/>
      <c r="Z222" s="17" t="s">
        <v>451</v>
      </c>
    </row>
    <row r="223" customFormat="false" ht="15" hidden="false" customHeight="false" outlineLevel="0" collapsed="false">
      <c r="A223" s="2" t="s">
        <v>1550</v>
      </c>
      <c r="B223" s="2" t="s">
        <v>1551</v>
      </c>
      <c r="C223" s="2" t="s">
        <v>1551</v>
      </c>
      <c r="D223" s="2" t="s">
        <v>194</v>
      </c>
      <c r="E223" s="2" t="s">
        <v>99</v>
      </c>
      <c r="F223" s="2" t="s">
        <v>1512</v>
      </c>
      <c r="G223" s="2" t="s">
        <v>74</v>
      </c>
      <c r="H223" s="2" t="s">
        <v>344</v>
      </c>
      <c r="I223" s="2"/>
      <c r="J223" s="15" t="n">
        <v>34</v>
      </c>
      <c r="K223" s="15"/>
      <c r="L223" s="2"/>
      <c r="M223" s="2" t="str">
        <f aca="false">IF(J223="","",IF(J223&lt;=4,"≤4",IF(J223&lt;=10,"5–10",IF(J223&lt;=20,"11–20",IF(J223&lt;=50,"21–50",IF(J223&lt;=250,"51–250","251+"))))))</f>
        <v>21–50</v>
      </c>
      <c r="N223" s="2"/>
      <c r="O223" s="2"/>
      <c r="P223" s="2"/>
      <c r="Q223" s="2"/>
      <c r="R223" s="16"/>
      <c r="S223" s="2"/>
      <c r="T223" s="16"/>
      <c r="U223" s="2"/>
      <c r="V223" s="16"/>
      <c r="W223" s="2"/>
      <c r="X223" s="2"/>
      <c r="Y223" s="2"/>
      <c r="Z223" s="17" t="s">
        <v>451</v>
      </c>
    </row>
    <row r="224" customFormat="false" ht="23.85" hidden="false" customHeight="false" outlineLevel="0" collapsed="false">
      <c r="A224" s="2" t="s">
        <v>1552</v>
      </c>
      <c r="B224" s="2" t="s">
        <v>1553</v>
      </c>
      <c r="C224" s="2" t="s">
        <v>1553</v>
      </c>
      <c r="D224" s="2" t="s">
        <v>211</v>
      </c>
      <c r="E224" s="2" t="s">
        <v>103</v>
      </c>
      <c r="F224" s="2" t="s">
        <v>1554</v>
      </c>
      <c r="G224" s="2" t="s">
        <v>74</v>
      </c>
      <c r="H224" s="2" t="s">
        <v>1260</v>
      </c>
      <c r="I224" s="2"/>
      <c r="J224" s="15" t="n">
        <v>380</v>
      </c>
      <c r="K224" s="15" t="n">
        <v>54</v>
      </c>
      <c r="L224" s="2" t="s">
        <v>1555</v>
      </c>
      <c r="M224" s="2" t="str">
        <f aca="false">IF(J224="","",IF(J224&lt;=4,"≤4",IF(J224&lt;=10,"5–10",IF(J224&lt;=20,"11–20",IF(J224&lt;=50,"21–50",IF(J224&lt;=250,"51–250","251+"))))))</f>
        <v>251+</v>
      </c>
      <c r="N224" s="2"/>
      <c r="O224" s="2"/>
      <c r="P224" s="2"/>
      <c r="Q224" s="2"/>
      <c r="R224" s="16"/>
      <c r="S224" s="2"/>
      <c r="T224" s="16"/>
      <c r="U224" s="2"/>
      <c r="V224" s="16"/>
      <c r="W224" s="2"/>
      <c r="X224" s="2"/>
      <c r="Y224" s="2" t="s">
        <v>1556</v>
      </c>
      <c r="Z224" s="17" t="s">
        <v>405</v>
      </c>
    </row>
    <row r="225" customFormat="false" ht="23.85" hidden="false" customHeight="false" outlineLevel="0" collapsed="false">
      <c r="A225" s="2" t="s">
        <v>1557</v>
      </c>
      <c r="B225" s="2" t="s">
        <v>1558</v>
      </c>
      <c r="C225" s="2" t="s">
        <v>1559</v>
      </c>
      <c r="D225" s="2" t="s">
        <v>211</v>
      </c>
      <c r="E225" s="2" t="s">
        <v>103</v>
      </c>
      <c r="F225" s="2" t="s">
        <v>1560</v>
      </c>
      <c r="G225" s="2" t="s">
        <v>74</v>
      </c>
      <c r="H225" s="2" t="s">
        <v>1561</v>
      </c>
      <c r="I225" s="2"/>
      <c r="J225" s="15" t="n">
        <v>274</v>
      </c>
      <c r="K225" s="15"/>
      <c r="L225" s="2"/>
      <c r="M225" s="2" t="str">
        <f aca="false">IF(J225="","",IF(J225&lt;=4,"≤4",IF(J225&lt;=10,"5–10",IF(J225&lt;=20,"11–20",IF(J225&lt;=50,"21–50",IF(J225&lt;=250,"51–250","251+"))))))</f>
        <v>251+</v>
      </c>
      <c r="N225" s="2"/>
      <c r="O225" s="2"/>
      <c r="P225" s="2"/>
      <c r="Q225" s="2"/>
      <c r="R225" s="16"/>
      <c r="S225" s="2"/>
      <c r="T225" s="16"/>
      <c r="U225" s="2"/>
      <c r="V225" s="16"/>
      <c r="W225" s="2"/>
      <c r="X225" s="2"/>
      <c r="Y225" s="2"/>
      <c r="Z225" s="17" t="s">
        <v>405</v>
      </c>
    </row>
    <row r="226" customFormat="false" ht="15" hidden="false" customHeight="false" outlineLevel="0" collapsed="false">
      <c r="A226" s="2" t="s">
        <v>1562</v>
      </c>
      <c r="B226" s="2" t="s">
        <v>1563</v>
      </c>
      <c r="C226" s="2" t="s">
        <v>1564</v>
      </c>
      <c r="D226" s="2" t="s">
        <v>216</v>
      </c>
      <c r="E226" s="2" t="s">
        <v>107</v>
      </c>
      <c r="F226" s="2" t="s">
        <v>1560</v>
      </c>
      <c r="G226" s="2" t="s">
        <v>74</v>
      </c>
      <c r="H226" s="2" t="s">
        <v>553</v>
      </c>
      <c r="I226" s="2" t="s">
        <v>336</v>
      </c>
      <c r="J226" s="15" t="n">
        <v>119</v>
      </c>
      <c r="K226" s="15" t="n">
        <v>119</v>
      </c>
      <c r="L226" s="2"/>
      <c r="M226" s="2" t="str">
        <f aca="false">IF(J226="","",IF(J226&lt;=4,"≤4",IF(J226&lt;=10,"5–10",IF(J226&lt;=20,"11–20",IF(J226&lt;=50,"21–50",IF(J226&lt;=250,"51–250","251+"))))))</f>
        <v>51–250</v>
      </c>
      <c r="N226" s="2"/>
      <c r="O226" s="2"/>
      <c r="P226" s="2"/>
      <c r="Q226" s="2"/>
      <c r="R226" s="16"/>
      <c r="S226" s="2"/>
      <c r="T226" s="16"/>
      <c r="U226" s="2"/>
      <c r="V226" s="16"/>
      <c r="W226" s="2"/>
      <c r="X226" s="2"/>
      <c r="Y226" s="2"/>
      <c r="Z226" s="17" t="s">
        <v>405</v>
      </c>
    </row>
    <row r="227" customFormat="false" ht="23.85" hidden="false" customHeight="false" outlineLevel="0" collapsed="false">
      <c r="A227" s="2" t="s">
        <v>1565</v>
      </c>
      <c r="B227" s="2" t="s">
        <v>1566</v>
      </c>
      <c r="C227" s="2" t="s">
        <v>1566</v>
      </c>
      <c r="D227" s="2" t="s">
        <v>211</v>
      </c>
      <c r="E227" s="2" t="s">
        <v>103</v>
      </c>
      <c r="F227" s="2" t="s">
        <v>1567</v>
      </c>
      <c r="G227" s="2" t="s">
        <v>73</v>
      </c>
      <c r="H227" s="2" t="s">
        <v>1568</v>
      </c>
      <c r="I227" s="2"/>
      <c r="J227" s="15" t="n">
        <v>230</v>
      </c>
      <c r="K227" s="15"/>
      <c r="L227" s="2"/>
      <c r="M227" s="2" t="str">
        <f aca="false">IF(J227="","",IF(J227&lt;=4,"≤4",IF(J227&lt;=10,"5–10",IF(J227&lt;=20,"11–20",IF(J227&lt;=50,"21–50",IF(J227&lt;=250,"51–250","251+"))))))</f>
        <v>51–250</v>
      </c>
      <c r="N227" s="2"/>
      <c r="O227" s="2"/>
      <c r="P227" s="2"/>
      <c r="Q227" s="2"/>
      <c r="R227" s="16"/>
      <c r="S227" s="2"/>
      <c r="T227" s="16"/>
      <c r="U227" s="2"/>
      <c r="V227" s="16"/>
      <c r="W227" s="2"/>
      <c r="X227" s="2"/>
      <c r="Y227" s="2"/>
      <c r="Z227" s="17" t="s">
        <v>339</v>
      </c>
    </row>
    <row r="228" customFormat="false" ht="15" hidden="false" customHeight="false" outlineLevel="0" collapsed="false">
      <c r="A228" s="2" t="s">
        <v>1569</v>
      </c>
      <c r="B228" s="2" t="s">
        <v>1570</v>
      </c>
      <c r="C228" s="2" t="s">
        <v>1570</v>
      </c>
      <c r="D228" s="2" t="s">
        <v>198</v>
      </c>
      <c r="E228" s="2" t="s">
        <v>100</v>
      </c>
      <c r="F228" s="2" t="s">
        <v>1571</v>
      </c>
      <c r="G228" s="2" t="s">
        <v>74</v>
      </c>
      <c r="H228" s="2" t="s">
        <v>1539</v>
      </c>
      <c r="I228" s="2"/>
      <c r="J228" s="15" t="n">
        <v>104</v>
      </c>
      <c r="K228" s="15"/>
      <c r="L228" s="2"/>
      <c r="M228" s="2" t="str">
        <f aca="false">IF(J228="","",IF(J228&lt;=4,"≤4",IF(J228&lt;=10,"5–10",IF(J228&lt;=20,"11–20",IF(J228&lt;=50,"21–50",IF(J228&lt;=250,"51–250","251+"))))))</f>
        <v>51–250</v>
      </c>
      <c r="N228" s="2"/>
      <c r="O228" s="2"/>
      <c r="P228" s="2"/>
      <c r="Q228" s="2"/>
      <c r="R228" s="16"/>
      <c r="S228" s="2"/>
      <c r="T228" s="16"/>
      <c r="U228" s="2"/>
      <c r="V228" s="16"/>
      <c r="W228" s="2"/>
      <c r="X228" s="2"/>
      <c r="Y228" s="2"/>
      <c r="Z228" s="17" t="s">
        <v>339</v>
      </c>
    </row>
    <row r="229" customFormat="false" ht="23.85" hidden="false" customHeight="false" outlineLevel="0" collapsed="false">
      <c r="A229" s="2" t="s">
        <v>1572</v>
      </c>
      <c r="B229" s="2" t="s">
        <v>1573</v>
      </c>
      <c r="C229" s="2" t="s">
        <v>1573</v>
      </c>
      <c r="D229" s="2" t="s">
        <v>200</v>
      </c>
      <c r="E229" s="2" t="s">
        <v>100</v>
      </c>
      <c r="F229" s="2" t="s">
        <v>1574</v>
      </c>
      <c r="G229" s="2" t="s">
        <v>74</v>
      </c>
      <c r="H229" s="2" t="s">
        <v>1575</v>
      </c>
      <c r="I229" s="2"/>
      <c r="J229" s="15" t="n">
        <v>132</v>
      </c>
      <c r="K229" s="15" t="n">
        <v>26</v>
      </c>
      <c r="L229" s="2" t="s">
        <v>1576</v>
      </c>
      <c r="M229" s="2" t="str">
        <f aca="false">IF(J229="","",IF(J229&lt;=4,"≤4",IF(J229&lt;=10,"5–10",IF(J229&lt;=20,"11–20",IF(J229&lt;=50,"21–50",IF(J229&lt;=250,"51–250","251+"))))))</f>
        <v>51–250</v>
      </c>
      <c r="N229" s="2"/>
      <c r="O229" s="2"/>
      <c r="P229" s="2"/>
      <c r="Q229" s="2"/>
      <c r="R229" s="16"/>
      <c r="S229" s="2"/>
      <c r="T229" s="16"/>
      <c r="U229" s="2"/>
      <c r="V229" s="16"/>
      <c r="W229" s="2"/>
      <c r="X229" s="2"/>
      <c r="Y229" s="2"/>
      <c r="Z229" s="17" t="s">
        <v>339</v>
      </c>
    </row>
    <row r="230" customFormat="false" ht="23.85" hidden="false" customHeight="false" outlineLevel="0" collapsed="false">
      <c r="A230" s="2" t="s">
        <v>1577</v>
      </c>
      <c r="B230" s="2" t="s">
        <v>1578</v>
      </c>
      <c r="C230" s="2" t="s">
        <v>1578</v>
      </c>
      <c r="D230" s="2" t="s">
        <v>178</v>
      </c>
      <c r="E230" s="2" t="s">
        <v>107</v>
      </c>
      <c r="F230" s="2" t="s">
        <v>1579</v>
      </c>
      <c r="G230" s="2" t="s">
        <v>74</v>
      </c>
      <c r="H230" s="2" t="s">
        <v>553</v>
      </c>
      <c r="I230" s="2"/>
      <c r="J230" s="15" t="n">
        <v>27</v>
      </c>
      <c r="K230" s="15" t="n">
        <v>27</v>
      </c>
      <c r="L230" s="2"/>
      <c r="M230" s="2" t="str">
        <f aca="false">IF(J230="","",IF(J230&lt;=4,"≤4",IF(J230&lt;=10,"5–10",IF(J230&lt;=20,"11–20",IF(J230&lt;=50,"21–50",IF(J230&lt;=250,"51–250","251+"))))))</f>
        <v>21–50</v>
      </c>
      <c r="N230" s="2"/>
      <c r="O230" s="2"/>
      <c r="P230" s="2"/>
      <c r="Q230" s="2"/>
      <c r="R230" s="16"/>
      <c r="S230" s="2"/>
      <c r="T230" s="16"/>
      <c r="U230" s="2"/>
      <c r="V230" s="16"/>
      <c r="W230" s="2"/>
      <c r="X230" s="2"/>
      <c r="Y230" s="2"/>
      <c r="Z230" s="17" t="s">
        <v>339</v>
      </c>
    </row>
    <row r="231" customFormat="false" ht="23.85" hidden="false" customHeight="false" outlineLevel="0" collapsed="false">
      <c r="A231" s="2" t="s">
        <v>1580</v>
      </c>
      <c r="B231" s="2" t="s">
        <v>1581</v>
      </c>
      <c r="C231" s="2" t="s">
        <v>1582</v>
      </c>
      <c r="D231" s="2" t="s">
        <v>215</v>
      </c>
      <c r="E231" s="2" t="s">
        <v>104</v>
      </c>
      <c r="F231" s="2" t="s">
        <v>1583</v>
      </c>
      <c r="G231" s="2" t="s">
        <v>74</v>
      </c>
      <c r="H231" s="2" t="s">
        <v>495</v>
      </c>
      <c r="I231" s="2" t="s">
        <v>336</v>
      </c>
      <c r="J231" s="15" t="n">
        <v>159</v>
      </c>
      <c r="K231" s="15" t="n">
        <v>158</v>
      </c>
      <c r="L231" s="2" t="s">
        <v>1584</v>
      </c>
      <c r="M231" s="2" t="str">
        <f aca="false">IF(J231="","",IF(J231&lt;=4,"≤4",IF(J231&lt;=10,"5–10",IF(J231&lt;=20,"11–20",IF(J231&lt;=50,"21–50",IF(J231&lt;=250,"51–250","251+"))))))</f>
        <v>51–250</v>
      </c>
      <c r="N231" s="2" t="s">
        <v>473</v>
      </c>
      <c r="O231" s="2"/>
      <c r="P231" s="2"/>
      <c r="Q231" s="2"/>
      <c r="R231" s="16"/>
      <c r="S231" s="2"/>
      <c r="T231" s="16"/>
      <c r="U231" s="2"/>
      <c r="V231" s="16"/>
      <c r="W231" s="2" t="s">
        <v>1585</v>
      </c>
      <c r="X231" s="2"/>
      <c r="Y231" s="2"/>
      <c r="Z231" s="17" t="s">
        <v>543</v>
      </c>
    </row>
    <row r="232" customFormat="false" ht="23.85" hidden="false" customHeight="false" outlineLevel="0" collapsed="false">
      <c r="A232" s="2" t="s">
        <v>1586</v>
      </c>
      <c r="B232" s="2" t="s">
        <v>1587</v>
      </c>
      <c r="C232" s="2" t="s">
        <v>1588</v>
      </c>
      <c r="D232" s="2" t="s">
        <v>196</v>
      </c>
      <c r="E232" s="2" t="s">
        <v>106</v>
      </c>
      <c r="F232" s="2" t="s">
        <v>1589</v>
      </c>
      <c r="G232" s="2" t="s">
        <v>74</v>
      </c>
      <c r="H232" s="2" t="s">
        <v>376</v>
      </c>
      <c r="I232" s="2" t="s">
        <v>336</v>
      </c>
      <c r="J232" s="15" t="n">
        <v>99</v>
      </c>
      <c r="K232" s="15" t="n">
        <v>98</v>
      </c>
      <c r="L232" s="2" t="s">
        <v>1590</v>
      </c>
      <c r="M232" s="2" t="str">
        <f aca="false">IF(J232="","",IF(J232&lt;=4,"≤4",IF(J232&lt;=10,"5–10",IF(J232&lt;=20,"11–20",IF(J232&lt;=50,"21–50",IF(J232&lt;=250,"51–250","251+"))))))</f>
        <v>51–250</v>
      </c>
      <c r="N232" s="2" t="s">
        <v>603</v>
      </c>
      <c r="O232" s="2" t="s">
        <v>678</v>
      </c>
      <c r="P232" s="2"/>
      <c r="Q232" s="2"/>
      <c r="R232" s="16"/>
      <c r="S232" s="2"/>
      <c r="T232" s="16"/>
      <c r="U232" s="2"/>
      <c r="V232" s="16"/>
      <c r="W232" s="2" t="s">
        <v>1591</v>
      </c>
      <c r="X232" s="2"/>
      <c r="Y232" s="2"/>
      <c r="Z232" s="17" t="s">
        <v>543</v>
      </c>
    </row>
    <row r="233" customFormat="false" ht="35.05" hidden="false" customHeight="false" outlineLevel="0" collapsed="false">
      <c r="A233" s="2" t="s">
        <v>1592</v>
      </c>
      <c r="B233" s="2" t="s">
        <v>1593</v>
      </c>
      <c r="C233" s="2" t="s">
        <v>1594</v>
      </c>
      <c r="D233" s="2" t="s">
        <v>197</v>
      </c>
      <c r="E233" s="2" t="s">
        <v>103</v>
      </c>
      <c r="F233" s="2" t="s">
        <v>1595</v>
      </c>
      <c r="G233" s="2" t="s">
        <v>73</v>
      </c>
      <c r="H233" s="2" t="s">
        <v>495</v>
      </c>
      <c r="I233" s="2" t="s">
        <v>336</v>
      </c>
      <c r="J233" s="15" t="n">
        <v>165</v>
      </c>
      <c r="K233" s="15" t="n">
        <v>163</v>
      </c>
      <c r="L233" s="2" t="s">
        <v>1596</v>
      </c>
      <c r="M233" s="2" t="str">
        <f aca="false">IF(J233="","",IF(J233&lt;=4,"≤4",IF(J233&lt;=10,"5–10",IF(J233&lt;=20,"11–20",IF(J233&lt;=50,"21–50",IF(J233&lt;=250,"51–250","251+"))))))</f>
        <v>51–250</v>
      </c>
      <c r="N233" s="2" t="s">
        <v>1597</v>
      </c>
      <c r="O233" s="2" t="s">
        <v>1598</v>
      </c>
      <c r="P233" s="2"/>
      <c r="Q233" s="2"/>
      <c r="R233" s="16"/>
      <c r="S233" s="2"/>
      <c r="T233" s="16"/>
      <c r="U233" s="2"/>
      <c r="V233" s="16"/>
      <c r="W233" s="2" t="s">
        <v>1599</v>
      </c>
      <c r="X233" s="2"/>
      <c r="Y233" s="2"/>
      <c r="Z233" s="17" t="s">
        <v>543</v>
      </c>
    </row>
    <row r="234" customFormat="false" ht="35.05" hidden="false" customHeight="false" outlineLevel="0" collapsed="false">
      <c r="A234" s="2" t="s">
        <v>1600</v>
      </c>
      <c r="B234" s="2" t="s">
        <v>1601</v>
      </c>
      <c r="C234" s="2" t="s">
        <v>1602</v>
      </c>
      <c r="D234" s="2" t="s">
        <v>197</v>
      </c>
      <c r="E234" s="2" t="s">
        <v>103</v>
      </c>
      <c r="F234" s="2" t="s">
        <v>1603</v>
      </c>
      <c r="G234" s="2" t="s">
        <v>73</v>
      </c>
      <c r="H234" s="2" t="s">
        <v>553</v>
      </c>
      <c r="I234" s="2" t="s">
        <v>336</v>
      </c>
      <c r="J234" s="15" t="n">
        <v>233</v>
      </c>
      <c r="K234" s="15" t="n">
        <v>231</v>
      </c>
      <c r="L234" s="2" t="s">
        <v>1604</v>
      </c>
      <c r="M234" s="2" t="str">
        <f aca="false">IF(J234="","",IF(J234&lt;=4,"≤4",IF(J234&lt;=10,"5–10",IF(J234&lt;=20,"11–20",IF(J234&lt;=50,"21–50",IF(J234&lt;=250,"51–250","251+"))))))</f>
        <v>51–250</v>
      </c>
      <c r="N234" s="2" t="s">
        <v>1597</v>
      </c>
      <c r="O234" s="2" t="s">
        <v>1598</v>
      </c>
      <c r="P234" s="2"/>
      <c r="Q234" s="2"/>
      <c r="R234" s="16"/>
      <c r="S234" s="2"/>
      <c r="T234" s="16"/>
      <c r="U234" s="2"/>
      <c r="V234" s="16"/>
      <c r="W234" s="2" t="s">
        <v>1605</v>
      </c>
      <c r="X234" s="2"/>
      <c r="Y234" s="2"/>
      <c r="Z234" s="17" t="s">
        <v>543</v>
      </c>
    </row>
    <row r="235" customFormat="false" ht="23.85" hidden="false" customHeight="false" outlineLevel="0" collapsed="false">
      <c r="A235" s="2" t="s">
        <v>1606</v>
      </c>
      <c r="B235" s="2" t="s">
        <v>1607</v>
      </c>
      <c r="C235" s="2" t="s">
        <v>1608</v>
      </c>
      <c r="D235" s="2" t="s">
        <v>197</v>
      </c>
      <c r="E235" s="2" t="s">
        <v>103</v>
      </c>
      <c r="F235" s="2" t="s">
        <v>1609</v>
      </c>
      <c r="G235" s="2" t="s">
        <v>74</v>
      </c>
      <c r="H235" s="2" t="s">
        <v>376</v>
      </c>
      <c r="I235" s="2" t="s">
        <v>336</v>
      </c>
      <c r="J235" s="15" t="n">
        <v>318</v>
      </c>
      <c r="K235" s="15" t="n">
        <v>316</v>
      </c>
      <c r="L235" s="2" t="s">
        <v>792</v>
      </c>
      <c r="M235" s="2" t="str">
        <f aca="false">IF(J235="","",IF(J235&lt;=4,"≤4",IF(J235&lt;=10,"5–10",IF(J235&lt;=20,"11–20",IF(J235&lt;=50,"21–50",IF(J235&lt;=250,"51–250","251+"))))))</f>
        <v>251+</v>
      </c>
      <c r="N235" s="2"/>
      <c r="O235" s="2"/>
      <c r="P235" s="2"/>
      <c r="Q235" s="2"/>
      <c r="R235" s="16"/>
      <c r="S235" s="2"/>
      <c r="T235" s="16"/>
      <c r="U235" s="2"/>
      <c r="V235" s="16"/>
      <c r="W235" s="2" t="s">
        <v>698</v>
      </c>
      <c r="X235" s="2"/>
      <c r="Y235" s="2"/>
      <c r="Z235" s="17" t="s">
        <v>543</v>
      </c>
    </row>
    <row r="236" customFormat="false" ht="35.05" hidden="false" customHeight="false" outlineLevel="0" collapsed="false">
      <c r="A236" s="2" t="s">
        <v>1610</v>
      </c>
      <c r="B236" s="2" t="s">
        <v>1611</v>
      </c>
      <c r="C236" s="2" t="s">
        <v>1612</v>
      </c>
      <c r="D236" s="2" t="s">
        <v>183</v>
      </c>
      <c r="E236" s="2" t="s">
        <v>103</v>
      </c>
      <c r="F236" s="2" t="s">
        <v>1613</v>
      </c>
      <c r="G236" s="2" t="s">
        <v>74</v>
      </c>
      <c r="H236" s="2" t="s">
        <v>553</v>
      </c>
      <c r="I236" s="2" t="s">
        <v>336</v>
      </c>
      <c r="J236" s="15" t="n">
        <v>314</v>
      </c>
      <c r="K236" s="15" t="n">
        <v>311</v>
      </c>
      <c r="L236" s="2" t="s">
        <v>1614</v>
      </c>
      <c r="M236" s="2" t="str">
        <f aca="false">IF(J236="","",IF(J236&lt;=4,"≤4",IF(J236&lt;=10,"5–10",IF(J236&lt;=20,"11–20",IF(J236&lt;=50,"21–50",IF(J236&lt;=250,"51–250","251+"))))))</f>
        <v>251+</v>
      </c>
      <c r="N236" s="2"/>
      <c r="O236" s="2"/>
      <c r="P236" s="2"/>
      <c r="Q236" s="2"/>
      <c r="R236" s="16"/>
      <c r="S236" s="2"/>
      <c r="T236" s="16"/>
      <c r="U236" s="2"/>
      <c r="V236" s="16"/>
      <c r="W236" s="2" t="s">
        <v>1615</v>
      </c>
      <c r="X236" s="2"/>
      <c r="Y236" s="2" t="s">
        <v>1616</v>
      </c>
      <c r="Z236" s="17" t="s">
        <v>543</v>
      </c>
    </row>
    <row r="237" customFormat="false" ht="23.85" hidden="false" customHeight="false" outlineLevel="0" collapsed="false">
      <c r="A237" s="2" t="s">
        <v>1617</v>
      </c>
      <c r="B237" s="2" t="s">
        <v>1618</v>
      </c>
      <c r="C237" s="2" t="s">
        <v>1618</v>
      </c>
      <c r="D237" s="2" t="s">
        <v>183</v>
      </c>
      <c r="E237" s="2" t="s">
        <v>103</v>
      </c>
      <c r="F237" s="2" t="s">
        <v>1609</v>
      </c>
      <c r="G237" s="2" t="s">
        <v>74</v>
      </c>
      <c r="H237" s="2" t="s">
        <v>376</v>
      </c>
      <c r="I237" s="2" t="s">
        <v>336</v>
      </c>
      <c r="J237" s="15" t="n">
        <v>80</v>
      </c>
      <c r="K237" s="15" t="n">
        <v>79</v>
      </c>
      <c r="L237" s="2" t="s">
        <v>792</v>
      </c>
      <c r="M237" s="2" t="str">
        <f aca="false">IF(J237="","",IF(J237&lt;=4,"≤4",IF(J237&lt;=10,"5–10",IF(J237&lt;=20,"11–20",IF(J237&lt;=50,"21–50",IF(J237&lt;=250,"51–250","251+"))))))</f>
        <v>51–250</v>
      </c>
      <c r="N237" s="2"/>
      <c r="O237" s="2"/>
      <c r="P237" s="2"/>
      <c r="Q237" s="2"/>
      <c r="R237" s="16"/>
      <c r="S237" s="2"/>
      <c r="T237" s="16"/>
      <c r="U237" s="2"/>
      <c r="V237" s="16"/>
      <c r="W237" s="2" t="s">
        <v>1619</v>
      </c>
      <c r="X237" s="2"/>
      <c r="Y237" s="2"/>
      <c r="Z237" s="17" t="s">
        <v>543</v>
      </c>
    </row>
    <row r="238" customFormat="false" ht="23.85" hidden="false" customHeight="false" outlineLevel="0" collapsed="false">
      <c r="A238" s="2" t="s">
        <v>1620</v>
      </c>
      <c r="B238" s="2" t="s">
        <v>1621</v>
      </c>
      <c r="C238" s="2" t="s">
        <v>1622</v>
      </c>
      <c r="D238" s="2" t="s">
        <v>214</v>
      </c>
      <c r="E238" s="2" t="s">
        <v>103</v>
      </c>
      <c r="F238" s="2" t="s">
        <v>1623</v>
      </c>
      <c r="G238" s="2" t="s">
        <v>73</v>
      </c>
      <c r="H238" s="2" t="s">
        <v>1624</v>
      </c>
      <c r="I238" s="2" t="s">
        <v>336</v>
      </c>
      <c r="J238" s="15" t="n">
        <v>150</v>
      </c>
      <c r="K238" s="15" t="n">
        <v>120</v>
      </c>
      <c r="L238" s="2" t="s">
        <v>1625</v>
      </c>
      <c r="M238" s="2" t="str">
        <f aca="false">IF(J238="","",IF(J238&lt;=4,"≤4",IF(J238&lt;=10,"5–10",IF(J238&lt;=20,"11–20",IF(J238&lt;=50,"21–50",IF(J238&lt;=250,"51–250","251+"))))))</f>
        <v>51–250</v>
      </c>
      <c r="N238" s="2" t="s">
        <v>670</v>
      </c>
      <c r="O238" s="2" t="s">
        <v>1626</v>
      </c>
      <c r="P238" s="2"/>
      <c r="Q238" s="2"/>
      <c r="R238" s="16"/>
      <c r="S238" s="2"/>
      <c r="T238" s="16"/>
      <c r="U238" s="2"/>
      <c r="V238" s="16"/>
      <c r="W238" s="2" t="s">
        <v>1627</v>
      </c>
      <c r="X238" s="2"/>
      <c r="Y238" s="2"/>
      <c r="Z238" s="17" t="s">
        <v>543</v>
      </c>
    </row>
    <row r="239" customFormat="false" ht="23.85" hidden="false" customHeight="false" outlineLevel="0" collapsed="false">
      <c r="A239" s="2" t="s">
        <v>1628</v>
      </c>
      <c r="B239" s="2" t="s">
        <v>1629</v>
      </c>
      <c r="C239" s="2" t="s">
        <v>1630</v>
      </c>
      <c r="D239" s="2" t="s">
        <v>178</v>
      </c>
      <c r="E239" s="2" t="s">
        <v>107</v>
      </c>
      <c r="F239" s="2" t="s">
        <v>1631</v>
      </c>
      <c r="G239" s="2" t="s">
        <v>73</v>
      </c>
      <c r="H239" s="2" t="s">
        <v>553</v>
      </c>
      <c r="I239" s="2" t="s">
        <v>336</v>
      </c>
      <c r="J239" s="15" t="n">
        <v>176</v>
      </c>
      <c r="K239" s="15" t="n">
        <v>175</v>
      </c>
      <c r="L239" s="2" t="s">
        <v>1632</v>
      </c>
      <c r="M239" s="2" t="str">
        <f aca="false">IF(J239="","",IF(J239&lt;=4,"≤4",IF(J239&lt;=10,"5–10",IF(J239&lt;=20,"11–20",IF(J239&lt;=50,"21–50",IF(J239&lt;=250,"51–250","251+"))))))</f>
        <v>51–250</v>
      </c>
      <c r="N239" s="2" t="s">
        <v>662</v>
      </c>
      <c r="O239" s="2" t="s">
        <v>473</v>
      </c>
      <c r="P239" s="2"/>
      <c r="Q239" s="2"/>
      <c r="R239" s="16"/>
      <c r="S239" s="2"/>
      <c r="T239" s="16"/>
      <c r="U239" s="2"/>
      <c r="V239" s="16"/>
      <c r="W239" s="2" t="s">
        <v>698</v>
      </c>
      <c r="X239" s="2"/>
      <c r="Y239" s="2"/>
      <c r="Z239" s="17" t="s">
        <v>543</v>
      </c>
    </row>
    <row r="240" customFormat="false" ht="23.85" hidden="false" customHeight="false" outlineLevel="0" collapsed="false">
      <c r="A240" s="2" t="s">
        <v>1633</v>
      </c>
      <c r="B240" s="2" t="s">
        <v>1634</v>
      </c>
      <c r="C240" s="2" t="s">
        <v>1635</v>
      </c>
      <c r="D240" s="2" t="s">
        <v>178</v>
      </c>
      <c r="E240" s="2" t="s">
        <v>107</v>
      </c>
      <c r="F240" s="2" t="s">
        <v>1636</v>
      </c>
      <c r="G240" s="2" t="s">
        <v>73</v>
      </c>
      <c r="H240" s="2" t="s">
        <v>553</v>
      </c>
      <c r="I240" s="2" t="s">
        <v>336</v>
      </c>
      <c r="J240" s="15" t="n">
        <v>156</v>
      </c>
      <c r="K240" s="15" t="n">
        <v>155</v>
      </c>
      <c r="L240" s="2" t="s">
        <v>1637</v>
      </c>
      <c r="M240" s="2" t="str">
        <f aca="false">IF(J240="","",IF(J240&lt;=4,"≤4",IF(J240&lt;=10,"5–10",IF(J240&lt;=20,"11–20",IF(J240&lt;=50,"21–50",IF(J240&lt;=250,"51–250","251+"))))))</f>
        <v>51–250</v>
      </c>
      <c r="N240" s="2" t="s">
        <v>438</v>
      </c>
      <c r="O240" s="2" t="s">
        <v>1533</v>
      </c>
      <c r="P240" s="2"/>
      <c r="Q240" s="2"/>
      <c r="R240" s="16"/>
      <c r="S240" s="2"/>
      <c r="T240" s="16"/>
      <c r="U240" s="2"/>
      <c r="V240" s="16"/>
      <c r="W240" s="2" t="s">
        <v>1638</v>
      </c>
      <c r="X240" s="2"/>
      <c r="Y240" s="2"/>
      <c r="Z240" s="17" t="s">
        <v>543</v>
      </c>
    </row>
    <row r="241" customFormat="false" ht="23.85" hidden="false" customHeight="false" outlineLevel="0" collapsed="false">
      <c r="A241" s="2" t="s">
        <v>1639</v>
      </c>
      <c r="B241" s="2" t="s">
        <v>1640</v>
      </c>
      <c r="C241" s="2" t="s">
        <v>1641</v>
      </c>
      <c r="D241" s="2" t="s">
        <v>178</v>
      </c>
      <c r="E241" s="2" t="s">
        <v>107</v>
      </c>
      <c r="F241" s="2" t="s">
        <v>1583</v>
      </c>
      <c r="G241" s="2" t="s">
        <v>74</v>
      </c>
      <c r="H241" s="2" t="s">
        <v>471</v>
      </c>
      <c r="I241" s="2" t="s">
        <v>336</v>
      </c>
      <c r="J241" s="15" t="n">
        <v>167</v>
      </c>
      <c r="K241" s="15" t="n">
        <v>165</v>
      </c>
      <c r="L241" s="2" t="s">
        <v>1642</v>
      </c>
      <c r="M241" s="2" t="str">
        <f aca="false">IF(J241="","",IF(J241&lt;=4,"≤4",IF(J241&lt;=10,"5–10",IF(J241&lt;=20,"11–20",IF(J241&lt;=50,"21–50",IF(J241&lt;=250,"51–250","251+"))))))</f>
        <v>51–250</v>
      </c>
      <c r="N241" s="2" t="s">
        <v>1643</v>
      </c>
      <c r="O241" s="2"/>
      <c r="P241" s="2"/>
      <c r="Q241" s="2"/>
      <c r="R241" s="16"/>
      <c r="S241" s="2"/>
      <c r="T241" s="16"/>
      <c r="U241" s="2"/>
      <c r="V241" s="16"/>
      <c r="W241" s="2" t="s">
        <v>1644</v>
      </c>
      <c r="X241" s="2"/>
      <c r="Y241" s="2"/>
      <c r="Z241" s="17" t="s">
        <v>543</v>
      </c>
    </row>
    <row r="242" customFormat="false" ht="35.05" hidden="false" customHeight="false" outlineLevel="0" collapsed="false">
      <c r="A242" s="2" t="s">
        <v>1645</v>
      </c>
      <c r="B242" s="2" t="s">
        <v>1646</v>
      </c>
      <c r="C242" s="2" t="s">
        <v>1647</v>
      </c>
      <c r="D242" s="2" t="s">
        <v>178</v>
      </c>
      <c r="E242" s="2" t="s">
        <v>107</v>
      </c>
      <c r="F242" s="2" t="s">
        <v>1609</v>
      </c>
      <c r="G242" s="2" t="s">
        <v>74</v>
      </c>
      <c r="H242" s="2" t="s">
        <v>1648</v>
      </c>
      <c r="I242" s="2" t="s">
        <v>336</v>
      </c>
      <c r="J242" s="15" t="n">
        <v>504</v>
      </c>
      <c r="K242" s="15" t="n">
        <v>498</v>
      </c>
      <c r="L242" s="2" t="s">
        <v>1649</v>
      </c>
      <c r="M242" s="2" t="str">
        <f aca="false">IF(J242="","",IF(J242&lt;=4,"≤4",IF(J242&lt;=10,"5–10",IF(J242&lt;=20,"11–20",IF(J242&lt;=50,"21–50",IF(J242&lt;=250,"51–250","251+"))))))</f>
        <v>251+</v>
      </c>
      <c r="N242" s="2" t="s">
        <v>1650</v>
      </c>
      <c r="O242" s="2"/>
      <c r="P242" s="2"/>
      <c r="Q242" s="2"/>
      <c r="R242" s="16"/>
      <c r="S242" s="2"/>
      <c r="T242" s="16"/>
      <c r="U242" s="2"/>
      <c r="V242" s="16"/>
      <c r="W242" s="2" t="s">
        <v>1651</v>
      </c>
      <c r="X242" s="2"/>
      <c r="Y242" s="2" t="s">
        <v>1652</v>
      </c>
      <c r="Z242" s="17" t="s">
        <v>543</v>
      </c>
    </row>
    <row r="243" customFormat="false" ht="35.05" hidden="false" customHeight="false" outlineLevel="0" collapsed="false">
      <c r="A243" s="2" t="s">
        <v>1653</v>
      </c>
      <c r="B243" s="2" t="s">
        <v>1654</v>
      </c>
      <c r="C243" s="2" t="s">
        <v>1655</v>
      </c>
      <c r="D243" s="2" t="s">
        <v>218</v>
      </c>
      <c r="E243" s="2" t="s">
        <v>102</v>
      </c>
      <c r="F243" s="2" t="s">
        <v>1656</v>
      </c>
      <c r="G243" s="2" t="s">
        <v>74</v>
      </c>
      <c r="H243" s="2" t="s">
        <v>1657</v>
      </c>
      <c r="I243" s="2" t="s">
        <v>997</v>
      </c>
      <c r="J243" s="15" t="n">
        <v>2382</v>
      </c>
      <c r="K243" s="15"/>
      <c r="L243" s="2" t="s">
        <v>1658</v>
      </c>
      <c r="M243" s="2" t="str">
        <f aca="false">IF(J243="","",IF(J243&lt;=4,"≤4",IF(J243&lt;=10,"5–10",IF(J243&lt;=20,"11–20",IF(J243&lt;=50,"21–50",IF(J243&lt;=250,"51–250","251+"))))))</f>
        <v>251+</v>
      </c>
      <c r="N243" s="2" t="s">
        <v>1659</v>
      </c>
      <c r="O243" s="2"/>
      <c r="P243" s="2"/>
      <c r="Q243" s="2"/>
      <c r="R243" s="16"/>
      <c r="S243" s="2"/>
      <c r="T243" s="16"/>
      <c r="U243" s="2"/>
      <c r="V243" s="16"/>
      <c r="W243" s="2"/>
      <c r="X243" s="2"/>
      <c r="Y243" s="2" t="s">
        <v>1660</v>
      </c>
      <c r="Z243" s="17" t="s">
        <v>1661</v>
      </c>
    </row>
    <row r="244" customFormat="false" ht="15" hidden="false" customHeight="false" outlineLevel="0" collapsed="false">
      <c r="A244" s="2" t="s">
        <v>1662</v>
      </c>
      <c r="B244" s="2" t="s">
        <v>1663</v>
      </c>
      <c r="C244" s="2" t="s">
        <v>1663</v>
      </c>
      <c r="D244" s="2" t="s">
        <v>213</v>
      </c>
      <c r="E244" s="2" t="s">
        <v>102</v>
      </c>
      <c r="F244" s="2" t="s">
        <v>1589</v>
      </c>
      <c r="G244" s="2" t="s">
        <v>74</v>
      </c>
      <c r="H244" s="2" t="s">
        <v>376</v>
      </c>
      <c r="I244" s="2" t="s">
        <v>336</v>
      </c>
      <c r="J244" s="15" t="n">
        <v>85</v>
      </c>
      <c r="K244" s="15" t="n">
        <v>84</v>
      </c>
      <c r="L244" s="2" t="s">
        <v>792</v>
      </c>
      <c r="M244" s="2" t="str">
        <f aca="false">IF(J244="","",IF(J244&lt;=4,"≤4",IF(J244&lt;=10,"5–10",IF(J244&lt;=20,"11–20",IF(J244&lt;=50,"21–50",IF(J244&lt;=250,"51–250","251+"))))))</f>
        <v>51–250</v>
      </c>
      <c r="N244" s="2"/>
      <c r="O244" s="2"/>
      <c r="P244" s="2"/>
      <c r="Q244" s="2"/>
      <c r="R244" s="16"/>
      <c r="S244" s="2"/>
      <c r="T244" s="16"/>
      <c r="U244" s="2"/>
      <c r="V244" s="16"/>
      <c r="W244" s="2" t="s">
        <v>1664</v>
      </c>
      <c r="X244" s="2"/>
      <c r="Y244" s="2"/>
      <c r="Z244" s="17" t="s">
        <v>543</v>
      </c>
    </row>
    <row r="245" customFormat="false" ht="23.85" hidden="false" customHeight="false" outlineLevel="0" collapsed="false">
      <c r="A245" s="2" t="s">
        <v>1665</v>
      </c>
      <c r="B245" s="2" t="s">
        <v>1666</v>
      </c>
      <c r="C245" s="2" t="s">
        <v>1667</v>
      </c>
      <c r="D245" s="2" t="s">
        <v>213</v>
      </c>
      <c r="E245" s="2" t="s">
        <v>102</v>
      </c>
      <c r="F245" s="2" t="s">
        <v>1668</v>
      </c>
      <c r="G245" s="2" t="s">
        <v>74</v>
      </c>
      <c r="H245" s="2" t="s">
        <v>759</v>
      </c>
      <c r="I245" s="2" t="s">
        <v>336</v>
      </c>
      <c r="J245" s="15" t="n">
        <v>78</v>
      </c>
      <c r="K245" s="15" t="n">
        <v>77</v>
      </c>
      <c r="L245" s="2" t="s">
        <v>1669</v>
      </c>
      <c r="M245" s="2" t="str">
        <f aca="false">IF(J245="","",IF(J245&lt;=4,"≤4",IF(J245&lt;=10,"5–10",IF(J245&lt;=20,"11–20",IF(J245&lt;=50,"21–50",IF(J245&lt;=250,"51–250","251+"))))))</f>
        <v>51–250</v>
      </c>
      <c r="N245" s="2" t="s">
        <v>670</v>
      </c>
      <c r="O245" s="2"/>
      <c r="P245" s="2"/>
      <c r="Q245" s="2"/>
      <c r="R245" s="16"/>
      <c r="S245" s="2"/>
      <c r="T245" s="16"/>
      <c r="U245" s="2"/>
      <c r="V245" s="16"/>
      <c r="W245" s="2" t="s">
        <v>1585</v>
      </c>
      <c r="X245" s="2"/>
      <c r="Y245" s="2"/>
      <c r="Z245" s="17" t="s">
        <v>543</v>
      </c>
    </row>
    <row r="246" customFormat="false" ht="23.85" hidden="false" customHeight="false" outlineLevel="0" collapsed="false">
      <c r="A246" s="2" t="s">
        <v>1670</v>
      </c>
      <c r="B246" s="2" t="s">
        <v>1671</v>
      </c>
      <c r="C246" s="2" t="s">
        <v>1672</v>
      </c>
      <c r="D246" s="2" t="s">
        <v>203</v>
      </c>
      <c r="E246" s="2" t="s">
        <v>98</v>
      </c>
      <c r="F246" s="2" t="s">
        <v>1668</v>
      </c>
      <c r="G246" s="2" t="s">
        <v>74</v>
      </c>
      <c r="H246" s="2" t="s">
        <v>801</v>
      </c>
      <c r="I246" s="2" t="s">
        <v>336</v>
      </c>
      <c r="J246" s="15" t="n">
        <v>102</v>
      </c>
      <c r="K246" s="15" t="n">
        <v>101</v>
      </c>
      <c r="L246" s="2" t="s">
        <v>792</v>
      </c>
      <c r="M246" s="2" t="str">
        <f aca="false">IF(J246="","",IF(J246&lt;=4,"≤4",IF(J246&lt;=10,"5–10",IF(J246&lt;=20,"11–20",IF(J246&lt;=50,"21–50",IF(J246&lt;=250,"51–250","251+"))))))</f>
        <v>51–250</v>
      </c>
      <c r="N246" s="2" t="s">
        <v>1673</v>
      </c>
      <c r="O246" s="2" t="s">
        <v>1674</v>
      </c>
      <c r="P246" s="2"/>
      <c r="Q246" s="2"/>
      <c r="R246" s="16"/>
      <c r="S246" s="2"/>
      <c r="T246" s="16"/>
      <c r="U246" s="2"/>
      <c r="V246" s="16"/>
      <c r="W246" s="2"/>
      <c r="X246" s="2"/>
      <c r="Y246" s="2"/>
      <c r="Z246" s="17" t="s">
        <v>543</v>
      </c>
    </row>
    <row r="247" customFormat="false" ht="23.85" hidden="false" customHeight="false" outlineLevel="0" collapsed="false">
      <c r="A247" s="2" t="s">
        <v>1675</v>
      </c>
      <c r="B247" s="2" t="s">
        <v>1676</v>
      </c>
      <c r="C247" s="2" t="s">
        <v>1677</v>
      </c>
      <c r="D247" s="2" t="s">
        <v>190</v>
      </c>
      <c r="E247" s="2" t="s">
        <v>102</v>
      </c>
      <c r="F247" s="2" t="s">
        <v>1678</v>
      </c>
      <c r="G247" s="2" t="s">
        <v>74</v>
      </c>
      <c r="H247" s="2" t="s">
        <v>801</v>
      </c>
      <c r="I247" s="2" t="s">
        <v>336</v>
      </c>
      <c r="J247" s="15" t="n">
        <v>72</v>
      </c>
      <c r="K247" s="15" t="n">
        <v>71</v>
      </c>
      <c r="L247" s="2" t="s">
        <v>1679</v>
      </c>
      <c r="M247" s="2" t="str">
        <f aca="false">IF(J247="","",IF(J247&lt;=4,"≤4",IF(J247&lt;=10,"5–10",IF(J247&lt;=20,"11–20",IF(J247&lt;=50,"21–50",IF(J247&lt;=250,"51–250","251+"))))))</f>
        <v>51–250</v>
      </c>
      <c r="N247" s="2" t="s">
        <v>478</v>
      </c>
      <c r="O247" s="2"/>
      <c r="P247" s="2"/>
      <c r="Q247" s="2"/>
      <c r="R247" s="16"/>
      <c r="S247" s="2"/>
      <c r="T247" s="16"/>
      <c r="U247" s="2"/>
      <c r="V247" s="16"/>
      <c r="W247" s="2" t="s">
        <v>1680</v>
      </c>
      <c r="X247" s="2"/>
      <c r="Y247" s="2"/>
      <c r="Z247" s="17" t="s">
        <v>543</v>
      </c>
    </row>
    <row r="248" customFormat="false" ht="23.85" hidden="false" customHeight="false" outlineLevel="0" collapsed="false">
      <c r="A248" s="2" t="s">
        <v>1681</v>
      </c>
      <c r="B248" s="2" t="s">
        <v>1682</v>
      </c>
      <c r="C248" s="2" t="s">
        <v>1683</v>
      </c>
      <c r="D248" s="2" t="s">
        <v>213</v>
      </c>
      <c r="E248" s="2" t="s">
        <v>102</v>
      </c>
      <c r="F248" s="2" t="s">
        <v>1668</v>
      </c>
      <c r="G248" s="2" t="s">
        <v>74</v>
      </c>
      <c r="H248" s="2" t="s">
        <v>801</v>
      </c>
      <c r="I248" s="2" t="s">
        <v>336</v>
      </c>
      <c r="J248" s="15" t="n">
        <v>80</v>
      </c>
      <c r="K248" s="15" t="n">
        <v>80</v>
      </c>
      <c r="L248" s="2" t="s">
        <v>1684</v>
      </c>
      <c r="M248" s="2" t="str">
        <f aca="false">IF(J248="","",IF(J248&lt;=4,"≤4",IF(J248&lt;=10,"5–10",IF(J248&lt;=20,"11–20",IF(J248&lt;=50,"21–50",IF(J248&lt;=250,"51–250","251+"))))))</f>
        <v>51–250</v>
      </c>
      <c r="N248" s="2" t="s">
        <v>438</v>
      </c>
      <c r="O248" s="2"/>
      <c r="P248" s="2"/>
      <c r="Q248" s="2"/>
      <c r="R248" s="16"/>
      <c r="S248" s="2"/>
      <c r="T248" s="16"/>
      <c r="U248" s="2"/>
      <c r="V248" s="16"/>
      <c r="W248" s="2" t="s">
        <v>624</v>
      </c>
      <c r="X248" s="2"/>
      <c r="Y248" s="2"/>
      <c r="Z248" s="17" t="s">
        <v>543</v>
      </c>
    </row>
    <row r="249" customFormat="false" ht="23.85" hidden="false" customHeight="false" outlineLevel="0" collapsed="false">
      <c r="A249" s="2" t="s">
        <v>1685</v>
      </c>
      <c r="B249" s="2" t="s">
        <v>1686</v>
      </c>
      <c r="C249" s="2" t="s">
        <v>1687</v>
      </c>
      <c r="D249" s="2" t="s">
        <v>196</v>
      </c>
      <c r="E249" s="2" t="s">
        <v>106</v>
      </c>
      <c r="F249" s="2" t="s">
        <v>1668</v>
      </c>
      <c r="G249" s="2" t="s">
        <v>74</v>
      </c>
      <c r="H249" s="2" t="s">
        <v>786</v>
      </c>
      <c r="I249" s="2" t="s">
        <v>336</v>
      </c>
      <c r="J249" s="15" t="n">
        <v>63</v>
      </c>
      <c r="K249" s="15" t="n">
        <v>61</v>
      </c>
      <c r="L249" s="2" t="s">
        <v>1688</v>
      </c>
      <c r="M249" s="2" t="str">
        <f aca="false">IF(J249="","",IF(J249&lt;=4,"≤4",IF(J249&lt;=10,"5–10",IF(J249&lt;=20,"11–20",IF(J249&lt;=50,"21–50",IF(J249&lt;=250,"51–250","251+"))))))</f>
        <v>51–250</v>
      </c>
      <c r="N249" s="2" t="s">
        <v>603</v>
      </c>
      <c r="O249" s="2"/>
      <c r="P249" s="2"/>
      <c r="Q249" s="2"/>
      <c r="R249" s="16"/>
      <c r="S249" s="2"/>
      <c r="T249" s="16"/>
      <c r="U249" s="2"/>
      <c r="V249" s="16"/>
      <c r="W249" s="2" t="s">
        <v>1689</v>
      </c>
      <c r="X249" s="2"/>
      <c r="Y249" s="2"/>
      <c r="Z249" s="17" t="s">
        <v>543</v>
      </c>
    </row>
    <row r="250" customFormat="false" ht="15" hidden="false" customHeight="false" outlineLevel="0" collapsed="false">
      <c r="A250" s="2" t="s">
        <v>1690</v>
      </c>
      <c r="B250" s="2" t="s">
        <v>1691</v>
      </c>
      <c r="C250" s="2" t="s">
        <v>1692</v>
      </c>
      <c r="D250" s="2" t="s">
        <v>187</v>
      </c>
      <c r="E250" s="2" t="s">
        <v>103</v>
      </c>
      <c r="F250" s="2" t="s">
        <v>1678</v>
      </c>
      <c r="G250" s="2" t="s">
        <v>74</v>
      </c>
      <c r="H250" s="2" t="s">
        <v>759</v>
      </c>
      <c r="I250" s="2" t="s">
        <v>336</v>
      </c>
      <c r="J250" s="15" t="n">
        <v>23</v>
      </c>
      <c r="K250" s="15" t="n">
        <v>23</v>
      </c>
      <c r="L250" s="2" t="s">
        <v>792</v>
      </c>
      <c r="M250" s="2" t="str">
        <f aca="false">IF(J250="","",IF(J250&lt;=4,"≤4",IF(J250&lt;=10,"5–10",IF(J250&lt;=20,"11–20",IF(J250&lt;=50,"21–50",IF(J250&lt;=250,"51–250","251+"))))))</f>
        <v>21–50</v>
      </c>
      <c r="N250" s="2" t="s">
        <v>1693</v>
      </c>
      <c r="O250" s="2"/>
      <c r="P250" s="2"/>
      <c r="Q250" s="2"/>
      <c r="R250" s="16"/>
      <c r="S250" s="2"/>
      <c r="T250" s="16"/>
      <c r="U250" s="2"/>
      <c r="V250" s="16"/>
      <c r="W250" s="2" t="s">
        <v>1680</v>
      </c>
      <c r="X250" s="2"/>
      <c r="Y250" s="2"/>
      <c r="Z250" s="17" t="s">
        <v>543</v>
      </c>
    </row>
    <row r="251" customFormat="false" ht="23.85" hidden="false" customHeight="false" outlineLevel="0" collapsed="false">
      <c r="A251" s="2" t="s">
        <v>1694</v>
      </c>
      <c r="B251" s="2" t="s">
        <v>1695</v>
      </c>
      <c r="C251" s="2" t="s">
        <v>1696</v>
      </c>
      <c r="D251" s="2" t="s">
        <v>196</v>
      </c>
      <c r="E251" s="2" t="s">
        <v>105</v>
      </c>
      <c r="F251" s="2" t="s">
        <v>1668</v>
      </c>
      <c r="G251" s="2" t="s">
        <v>74</v>
      </c>
      <c r="H251" s="2" t="s">
        <v>1697</v>
      </c>
      <c r="I251" s="2" t="s">
        <v>336</v>
      </c>
      <c r="J251" s="15" t="n">
        <v>5</v>
      </c>
      <c r="K251" s="15" t="n">
        <v>5</v>
      </c>
      <c r="L251" s="2" t="s">
        <v>1698</v>
      </c>
      <c r="M251" s="2" t="str">
        <f aca="false">IF(J251="","",IF(J251&lt;=4,"≤4",IF(J251&lt;=10,"5–10",IF(J251&lt;=20,"11–20",IF(J251&lt;=50,"21–50",IF(J251&lt;=250,"51–250","251+"))))))</f>
        <v>5–10</v>
      </c>
      <c r="N251" s="2" t="s">
        <v>1699</v>
      </c>
      <c r="O251" s="2"/>
      <c r="P251" s="2"/>
      <c r="Q251" s="2"/>
      <c r="R251" s="16"/>
      <c r="S251" s="2"/>
      <c r="T251" s="16"/>
      <c r="U251" s="2"/>
      <c r="V251" s="16"/>
      <c r="W251" s="2" t="s">
        <v>788</v>
      </c>
      <c r="X251" s="2"/>
      <c r="Y251" s="2"/>
      <c r="Z251" s="17" t="s">
        <v>543</v>
      </c>
    </row>
    <row r="252" customFormat="false" ht="23.85" hidden="false" customHeight="false" outlineLevel="0" collapsed="false">
      <c r="A252" s="2" t="s">
        <v>1700</v>
      </c>
      <c r="B252" s="2" t="s">
        <v>1701</v>
      </c>
      <c r="C252" s="2" t="s">
        <v>1702</v>
      </c>
      <c r="D252" s="2" t="s">
        <v>179</v>
      </c>
      <c r="E252" s="2" t="s">
        <v>106</v>
      </c>
      <c r="F252" s="2" t="s">
        <v>1703</v>
      </c>
      <c r="G252" s="2" t="s">
        <v>74</v>
      </c>
      <c r="H252" s="2" t="s">
        <v>495</v>
      </c>
      <c r="I252" s="2" t="s">
        <v>336</v>
      </c>
      <c r="J252" s="15" t="n">
        <v>126</v>
      </c>
      <c r="K252" s="15" t="n">
        <v>126</v>
      </c>
      <c r="L252" s="2"/>
      <c r="M252" s="2" t="str">
        <f aca="false">IF(J252="","",IF(J252&lt;=4,"≤4",IF(J252&lt;=10,"5–10",IF(J252&lt;=20,"11–20",IF(J252&lt;=50,"21–50",IF(J252&lt;=250,"51–250","251+"))))))</f>
        <v>51–250</v>
      </c>
      <c r="N252" s="2" t="s">
        <v>1704</v>
      </c>
      <c r="O252" s="2"/>
      <c r="P252" s="2"/>
      <c r="Q252" s="2"/>
      <c r="R252" s="16"/>
      <c r="S252" s="2"/>
      <c r="T252" s="16"/>
      <c r="U252" s="2"/>
      <c r="V252" s="16"/>
      <c r="W252" s="2"/>
      <c r="X252" s="2"/>
      <c r="Y252" s="2" t="s">
        <v>1705</v>
      </c>
      <c r="Z252" s="17" t="s">
        <v>513</v>
      </c>
    </row>
    <row r="253" customFormat="false" ht="46.25" hidden="false" customHeight="false" outlineLevel="0" collapsed="false">
      <c r="A253" s="2" t="s">
        <v>1706</v>
      </c>
      <c r="B253" s="2" t="s">
        <v>1707</v>
      </c>
      <c r="C253" s="2" t="s">
        <v>1708</v>
      </c>
      <c r="D253" s="2"/>
      <c r="E253" s="2"/>
      <c r="F253" s="2" t="s">
        <v>1709</v>
      </c>
      <c r="G253" s="2" t="s">
        <v>75</v>
      </c>
      <c r="H253" s="2" t="s">
        <v>392</v>
      </c>
      <c r="I253" s="2" t="s">
        <v>997</v>
      </c>
      <c r="J253" s="15" t="n">
        <v>9637</v>
      </c>
      <c r="K253" s="15"/>
      <c r="L253" s="2"/>
      <c r="M253" s="2" t="str">
        <f aca="false">IF(J253="","",IF(J253&lt;=4,"≤4",IF(J253&lt;=10,"5–10",IF(J253&lt;=20,"11–20",IF(J253&lt;=50,"21–50",IF(J253&lt;=250,"51–250","251+"))))))</f>
        <v>251+</v>
      </c>
      <c r="N253" s="2" t="s">
        <v>283</v>
      </c>
      <c r="O253" s="2"/>
      <c r="P253" s="2"/>
      <c r="Q253" s="2"/>
      <c r="R253" s="16"/>
      <c r="S253" s="2"/>
      <c r="T253" s="16"/>
      <c r="U253" s="2"/>
      <c r="V253" s="16"/>
      <c r="W253" s="2"/>
      <c r="X253" s="2"/>
      <c r="Y253" s="2" t="s">
        <v>1710</v>
      </c>
      <c r="Z253" s="17" t="s">
        <v>1711</v>
      </c>
    </row>
    <row r="254" customFormat="false" ht="46.25" hidden="false" customHeight="false" outlineLevel="0" collapsed="false">
      <c r="A254" s="2" t="s">
        <v>1712</v>
      </c>
      <c r="B254" s="2" t="s">
        <v>1713</v>
      </c>
      <c r="C254" s="2" t="s">
        <v>1708</v>
      </c>
      <c r="D254" s="2"/>
      <c r="E254" s="2"/>
      <c r="F254" s="2" t="s">
        <v>1709</v>
      </c>
      <c r="G254" s="2" t="s">
        <v>75</v>
      </c>
      <c r="H254" s="2" t="s">
        <v>392</v>
      </c>
      <c r="I254" s="2" t="s">
        <v>997</v>
      </c>
      <c r="J254" s="15" t="n">
        <v>6273</v>
      </c>
      <c r="K254" s="15"/>
      <c r="L254" s="2"/>
      <c r="M254" s="2" t="str">
        <f aca="false">IF(J254="","",IF(J254&lt;=4,"≤4",IF(J254&lt;=10,"5–10",IF(J254&lt;=20,"11–20",IF(J254&lt;=50,"21–50",IF(J254&lt;=250,"51–250","251+"))))))</f>
        <v>251+</v>
      </c>
      <c r="N254" s="2" t="s">
        <v>284</v>
      </c>
      <c r="O254" s="2"/>
      <c r="P254" s="2"/>
      <c r="Q254" s="2"/>
      <c r="R254" s="16"/>
      <c r="S254" s="2"/>
      <c r="T254" s="16"/>
      <c r="U254" s="2"/>
      <c r="V254" s="16"/>
      <c r="W254" s="2"/>
      <c r="X254" s="2"/>
      <c r="Y254" s="2" t="s">
        <v>1710</v>
      </c>
      <c r="Z254" s="17" t="s">
        <v>1711</v>
      </c>
    </row>
    <row r="255" customFormat="false" ht="46.25" hidden="false" customHeight="false" outlineLevel="0" collapsed="false">
      <c r="A255" s="2" t="s">
        <v>1714</v>
      </c>
      <c r="B255" s="2" t="s">
        <v>1715</v>
      </c>
      <c r="C255" s="2" t="s">
        <v>1708</v>
      </c>
      <c r="D255" s="2"/>
      <c r="E255" s="2"/>
      <c r="F255" s="2" t="s">
        <v>1709</v>
      </c>
      <c r="G255" s="2" t="s">
        <v>75</v>
      </c>
      <c r="H255" s="2" t="s">
        <v>392</v>
      </c>
      <c r="I255" s="2" t="s">
        <v>997</v>
      </c>
      <c r="J255" s="15" t="n">
        <v>5314</v>
      </c>
      <c r="K255" s="15"/>
      <c r="L255" s="2"/>
      <c r="M255" s="2" t="str">
        <f aca="false">IF(J255="","",IF(J255&lt;=4,"≤4",IF(J255&lt;=10,"5–10",IF(J255&lt;=20,"11–20",IF(J255&lt;=50,"21–50",IF(J255&lt;=250,"51–250","251+"))))))</f>
        <v>251+</v>
      </c>
      <c r="N255" s="2" t="s">
        <v>286</v>
      </c>
      <c r="O255" s="2"/>
      <c r="P255" s="2"/>
      <c r="Q255" s="2"/>
      <c r="R255" s="16"/>
      <c r="S255" s="2"/>
      <c r="T255" s="16"/>
      <c r="U255" s="2"/>
      <c r="V255" s="16"/>
      <c r="W255" s="2"/>
      <c r="X255" s="2"/>
      <c r="Y255" s="2" t="s">
        <v>1710</v>
      </c>
      <c r="Z255" s="17" t="s">
        <v>1711</v>
      </c>
    </row>
    <row r="256" customFormat="false" ht="46.25" hidden="false" customHeight="false" outlineLevel="0" collapsed="false">
      <c r="A256" s="2" t="s">
        <v>1716</v>
      </c>
      <c r="B256" s="2" t="s">
        <v>1717</v>
      </c>
      <c r="C256" s="2" t="s">
        <v>1708</v>
      </c>
      <c r="D256" s="2"/>
      <c r="E256" s="2"/>
      <c r="F256" s="2" t="s">
        <v>1709</v>
      </c>
      <c r="G256" s="2" t="s">
        <v>75</v>
      </c>
      <c r="H256" s="2" t="s">
        <v>392</v>
      </c>
      <c r="I256" s="2" t="s">
        <v>997</v>
      </c>
      <c r="J256" s="15" t="n">
        <v>3532</v>
      </c>
      <c r="K256" s="15"/>
      <c r="L256" s="2"/>
      <c r="M256" s="2" t="str">
        <f aca="false">IF(J256="","",IF(J256&lt;=4,"≤4",IF(J256&lt;=10,"5–10",IF(J256&lt;=20,"11–20",IF(J256&lt;=50,"21–50",IF(J256&lt;=250,"51–250","251+"))))))</f>
        <v>251+</v>
      </c>
      <c r="N256" s="2" t="s">
        <v>288</v>
      </c>
      <c r="O256" s="2"/>
      <c r="P256" s="2"/>
      <c r="Q256" s="2"/>
      <c r="R256" s="16"/>
      <c r="S256" s="2"/>
      <c r="T256" s="16"/>
      <c r="U256" s="2"/>
      <c r="V256" s="16"/>
      <c r="W256" s="2"/>
      <c r="X256" s="2"/>
      <c r="Y256" s="2" t="s">
        <v>1710</v>
      </c>
      <c r="Z256" s="17" t="s">
        <v>1711</v>
      </c>
    </row>
    <row r="257" customFormat="false" ht="46.25" hidden="false" customHeight="false" outlineLevel="0" collapsed="false">
      <c r="A257" s="2" t="s">
        <v>1718</v>
      </c>
      <c r="B257" s="2" t="s">
        <v>1719</v>
      </c>
      <c r="C257" s="2" t="s">
        <v>1708</v>
      </c>
      <c r="D257" s="2"/>
      <c r="E257" s="2"/>
      <c r="F257" s="2" t="s">
        <v>1709</v>
      </c>
      <c r="G257" s="2" t="s">
        <v>75</v>
      </c>
      <c r="H257" s="2" t="s">
        <v>392</v>
      </c>
      <c r="I257" s="2" t="s">
        <v>997</v>
      </c>
      <c r="J257" s="15" t="n">
        <v>3491</v>
      </c>
      <c r="K257" s="15"/>
      <c r="L257" s="2"/>
      <c r="M257" s="2" t="str">
        <f aca="false">IF(J257="","",IF(J257&lt;=4,"≤4",IF(J257&lt;=10,"5–10",IF(J257&lt;=20,"11–20",IF(J257&lt;=50,"21–50",IF(J257&lt;=250,"51–250","251+"))))))</f>
        <v>251+</v>
      </c>
      <c r="N257" s="2" t="s">
        <v>290</v>
      </c>
      <c r="O257" s="2"/>
      <c r="P257" s="2"/>
      <c r="Q257" s="2"/>
      <c r="R257" s="16"/>
      <c r="S257" s="2"/>
      <c r="T257" s="16"/>
      <c r="U257" s="2"/>
      <c r="V257" s="16"/>
      <c r="W257" s="2"/>
      <c r="X257" s="2"/>
      <c r="Y257" s="2" t="s">
        <v>1710</v>
      </c>
      <c r="Z257" s="17" t="s">
        <v>1711</v>
      </c>
    </row>
    <row r="258" customFormat="false" ht="46.25" hidden="false" customHeight="false" outlineLevel="0" collapsed="false">
      <c r="A258" s="2" t="s">
        <v>1720</v>
      </c>
      <c r="B258" s="2" t="s">
        <v>1721</v>
      </c>
      <c r="C258" s="2" t="s">
        <v>1708</v>
      </c>
      <c r="D258" s="2"/>
      <c r="E258" s="2"/>
      <c r="F258" s="2" t="s">
        <v>1709</v>
      </c>
      <c r="G258" s="2" t="s">
        <v>75</v>
      </c>
      <c r="H258" s="2" t="s">
        <v>392</v>
      </c>
      <c r="I258" s="2" t="s">
        <v>997</v>
      </c>
      <c r="J258" s="15" t="n">
        <v>2720</v>
      </c>
      <c r="K258" s="15"/>
      <c r="L258" s="2"/>
      <c r="M258" s="2" t="str">
        <f aca="false">IF(J258="","",IF(J258&lt;=4,"≤4",IF(J258&lt;=10,"5–10",IF(J258&lt;=20,"11–20",IF(J258&lt;=50,"21–50",IF(J258&lt;=250,"51–250","251+"))))))</f>
        <v>251+</v>
      </c>
      <c r="N258" s="2" t="s">
        <v>292</v>
      </c>
      <c r="O258" s="2"/>
      <c r="P258" s="2"/>
      <c r="Q258" s="2"/>
      <c r="R258" s="16"/>
      <c r="S258" s="2"/>
      <c r="T258" s="16"/>
      <c r="U258" s="2"/>
      <c r="V258" s="16"/>
      <c r="W258" s="2"/>
      <c r="X258" s="2"/>
      <c r="Y258" s="2" t="s">
        <v>1710</v>
      </c>
      <c r="Z258" s="17" t="s">
        <v>1711</v>
      </c>
    </row>
    <row r="259" customFormat="false" ht="46.25" hidden="false" customHeight="false" outlineLevel="0" collapsed="false">
      <c r="A259" s="2" t="s">
        <v>1722</v>
      </c>
      <c r="B259" s="2" t="s">
        <v>1723</v>
      </c>
      <c r="C259" s="2" t="s">
        <v>1708</v>
      </c>
      <c r="D259" s="2"/>
      <c r="E259" s="2"/>
      <c r="F259" s="2" t="s">
        <v>1709</v>
      </c>
      <c r="G259" s="2" t="s">
        <v>75</v>
      </c>
      <c r="H259" s="2" t="s">
        <v>392</v>
      </c>
      <c r="I259" s="2" t="s">
        <v>997</v>
      </c>
      <c r="J259" s="15" t="n">
        <v>2228</v>
      </c>
      <c r="K259" s="15"/>
      <c r="L259" s="2"/>
      <c r="M259" s="2" t="str">
        <f aca="false">IF(J259="","",IF(J259&lt;=4,"≤4",IF(J259&lt;=10,"5–10",IF(J259&lt;=20,"11–20",IF(J259&lt;=50,"21–50",IF(J259&lt;=250,"51–250","251+"))))))</f>
        <v>251+</v>
      </c>
      <c r="N259" s="2" t="s">
        <v>294</v>
      </c>
      <c r="O259" s="2"/>
      <c r="P259" s="2"/>
      <c r="Q259" s="2"/>
      <c r="R259" s="16"/>
      <c r="S259" s="2"/>
      <c r="T259" s="16"/>
      <c r="U259" s="2"/>
      <c r="V259" s="16"/>
      <c r="W259" s="2"/>
      <c r="X259" s="2"/>
      <c r="Y259" s="2" t="s">
        <v>1710</v>
      </c>
      <c r="Z259" s="17" t="s">
        <v>1711</v>
      </c>
    </row>
    <row r="260" customFormat="false" ht="46.25" hidden="false" customHeight="false" outlineLevel="0" collapsed="false">
      <c r="A260" s="2" t="s">
        <v>1724</v>
      </c>
      <c r="B260" s="2" t="s">
        <v>1725</v>
      </c>
      <c r="C260" s="2" t="s">
        <v>1708</v>
      </c>
      <c r="D260" s="2"/>
      <c r="E260" s="2"/>
      <c r="F260" s="2" t="s">
        <v>1709</v>
      </c>
      <c r="G260" s="2" t="s">
        <v>75</v>
      </c>
      <c r="H260" s="2" t="s">
        <v>392</v>
      </c>
      <c r="I260" s="2" t="s">
        <v>997</v>
      </c>
      <c r="J260" s="15" t="n">
        <v>1634</v>
      </c>
      <c r="K260" s="15"/>
      <c r="L260" s="2"/>
      <c r="M260" s="2" t="str">
        <f aca="false">IF(J260="","",IF(J260&lt;=4,"≤4",IF(J260&lt;=10,"5–10",IF(J260&lt;=20,"11–20",IF(J260&lt;=50,"21–50",IF(J260&lt;=250,"51–250","251+"))))))</f>
        <v>251+</v>
      </c>
      <c r="N260" s="2" t="s">
        <v>290</v>
      </c>
      <c r="O260" s="2"/>
      <c r="P260" s="2"/>
      <c r="Q260" s="2"/>
      <c r="R260" s="16"/>
      <c r="S260" s="2"/>
      <c r="T260" s="16"/>
      <c r="U260" s="2"/>
      <c r="V260" s="16"/>
      <c r="W260" s="2"/>
      <c r="X260" s="2"/>
      <c r="Y260" s="2" t="s">
        <v>1710</v>
      </c>
      <c r="Z260" s="17" t="s">
        <v>1711</v>
      </c>
    </row>
    <row r="261" customFormat="false" ht="46.25" hidden="false" customHeight="false" outlineLevel="0" collapsed="false">
      <c r="A261" s="2" t="s">
        <v>1726</v>
      </c>
      <c r="B261" s="2" t="s">
        <v>1727</v>
      </c>
      <c r="C261" s="2" t="s">
        <v>1708</v>
      </c>
      <c r="D261" s="2"/>
      <c r="E261" s="2"/>
      <c r="F261" s="2" t="s">
        <v>1709</v>
      </c>
      <c r="G261" s="2" t="s">
        <v>75</v>
      </c>
      <c r="H261" s="2" t="s">
        <v>392</v>
      </c>
      <c r="I261" s="2" t="s">
        <v>997</v>
      </c>
      <c r="J261" s="15" t="n">
        <v>1575</v>
      </c>
      <c r="K261" s="15"/>
      <c r="L261" s="2"/>
      <c r="M261" s="2" t="str">
        <f aca="false">IF(J261="","",IF(J261&lt;=4,"≤4",IF(J261&lt;=10,"5–10",IF(J261&lt;=20,"11–20",IF(J261&lt;=50,"21–50",IF(J261&lt;=250,"51–250","251+"))))))</f>
        <v>251+</v>
      </c>
      <c r="N261" s="2" t="s">
        <v>297</v>
      </c>
      <c r="O261" s="2"/>
      <c r="P261" s="2"/>
      <c r="Q261" s="2"/>
      <c r="R261" s="16"/>
      <c r="S261" s="2"/>
      <c r="T261" s="16"/>
      <c r="U261" s="2"/>
      <c r="V261" s="16"/>
      <c r="W261" s="2"/>
      <c r="X261" s="2"/>
      <c r="Y261" s="2" t="s">
        <v>1710</v>
      </c>
      <c r="Z261" s="17" t="s">
        <v>1711</v>
      </c>
    </row>
    <row r="262" customFormat="false" ht="46.25" hidden="false" customHeight="false" outlineLevel="0" collapsed="false">
      <c r="A262" s="2" t="s">
        <v>1728</v>
      </c>
      <c r="B262" s="2" t="s">
        <v>1729</v>
      </c>
      <c r="C262" s="2" t="s">
        <v>1708</v>
      </c>
      <c r="D262" s="2"/>
      <c r="E262" s="2"/>
      <c r="F262" s="2" t="s">
        <v>1709</v>
      </c>
      <c r="G262" s="2" t="s">
        <v>75</v>
      </c>
      <c r="H262" s="2" t="s">
        <v>392</v>
      </c>
      <c r="I262" s="2" t="s">
        <v>997</v>
      </c>
      <c r="J262" s="15" t="n">
        <v>1409</v>
      </c>
      <c r="K262" s="15"/>
      <c r="L262" s="2"/>
      <c r="M262" s="2" t="str">
        <f aca="false">IF(J262="","",IF(J262&lt;=4,"≤4",IF(J262&lt;=10,"5–10",IF(J262&lt;=20,"11–20",IF(J262&lt;=50,"21–50",IF(J262&lt;=250,"51–250","251+"))))))</f>
        <v>251+</v>
      </c>
      <c r="N262" s="2" t="s">
        <v>299</v>
      </c>
      <c r="O262" s="2"/>
      <c r="P262" s="2"/>
      <c r="Q262" s="2"/>
      <c r="R262" s="16"/>
      <c r="S262" s="2"/>
      <c r="T262" s="16"/>
      <c r="U262" s="2"/>
      <c r="V262" s="16"/>
      <c r="W262" s="2"/>
      <c r="X262" s="2"/>
      <c r="Y262" s="2" t="s">
        <v>1710</v>
      </c>
      <c r="Z262" s="17" t="s">
        <v>1711</v>
      </c>
    </row>
    <row r="263" customFormat="false" ht="46.25" hidden="false" customHeight="false" outlineLevel="0" collapsed="false">
      <c r="A263" s="2" t="s">
        <v>1730</v>
      </c>
      <c r="B263" s="2" t="s">
        <v>1731</v>
      </c>
      <c r="C263" s="2" t="s">
        <v>1708</v>
      </c>
      <c r="D263" s="2"/>
      <c r="E263" s="2"/>
      <c r="F263" s="2" t="s">
        <v>1709</v>
      </c>
      <c r="G263" s="2" t="s">
        <v>75</v>
      </c>
      <c r="H263" s="2" t="s">
        <v>392</v>
      </c>
      <c r="I263" s="2" t="s">
        <v>997</v>
      </c>
      <c r="J263" s="15" t="n">
        <v>1123</v>
      </c>
      <c r="K263" s="15"/>
      <c r="L263" s="2"/>
      <c r="M263" s="2" t="str">
        <f aca="false">IF(J263="","",IF(J263&lt;=4,"≤4",IF(J263&lt;=10,"5–10",IF(J263&lt;=20,"11–20",IF(J263&lt;=50,"21–50",IF(J263&lt;=250,"51–250","251+"))))))</f>
        <v>251+</v>
      </c>
      <c r="N263" s="2" t="s">
        <v>301</v>
      </c>
      <c r="O263" s="2"/>
      <c r="P263" s="2"/>
      <c r="Q263" s="2"/>
      <c r="R263" s="16"/>
      <c r="S263" s="2"/>
      <c r="T263" s="16"/>
      <c r="U263" s="2"/>
      <c r="V263" s="16"/>
      <c r="W263" s="2"/>
      <c r="X263" s="2"/>
      <c r="Y263" s="2" t="s">
        <v>1710</v>
      </c>
      <c r="Z263" s="17" t="s">
        <v>1711</v>
      </c>
    </row>
    <row r="264" customFormat="false" ht="46.25" hidden="false" customHeight="false" outlineLevel="0" collapsed="false">
      <c r="A264" s="2" t="s">
        <v>1732</v>
      </c>
      <c r="B264" s="2" t="s">
        <v>1733</v>
      </c>
      <c r="C264" s="2" t="s">
        <v>1708</v>
      </c>
      <c r="D264" s="2"/>
      <c r="E264" s="2"/>
      <c r="F264" s="2" t="s">
        <v>1709</v>
      </c>
      <c r="G264" s="2" t="s">
        <v>75</v>
      </c>
      <c r="H264" s="2" t="s">
        <v>392</v>
      </c>
      <c r="I264" s="2" t="s">
        <v>997</v>
      </c>
      <c r="J264" s="15" t="n">
        <v>744</v>
      </c>
      <c r="K264" s="15"/>
      <c r="L264" s="2"/>
      <c r="M264" s="2" t="str">
        <f aca="false">IF(J264="","",IF(J264&lt;=4,"≤4",IF(J264&lt;=10,"5–10",IF(J264&lt;=20,"11–20",IF(J264&lt;=50,"21–50",IF(J264&lt;=250,"51–250","251+"))))))</f>
        <v>251+</v>
      </c>
      <c r="N264" s="2" t="s">
        <v>303</v>
      </c>
      <c r="O264" s="2"/>
      <c r="P264" s="2"/>
      <c r="Q264" s="2"/>
      <c r="R264" s="16"/>
      <c r="S264" s="2"/>
      <c r="T264" s="16"/>
      <c r="U264" s="2"/>
      <c r="V264" s="16"/>
      <c r="W264" s="2"/>
      <c r="X264" s="2"/>
      <c r="Y264" s="2" t="s">
        <v>1710</v>
      </c>
      <c r="Z264" s="17" t="s">
        <v>1711</v>
      </c>
    </row>
    <row r="265" customFormat="false" ht="46.25" hidden="false" customHeight="false" outlineLevel="0" collapsed="false">
      <c r="A265" s="2" t="s">
        <v>1734</v>
      </c>
      <c r="B265" s="2" t="s">
        <v>1735</v>
      </c>
      <c r="C265" s="2" t="s">
        <v>1708</v>
      </c>
      <c r="D265" s="2"/>
      <c r="E265" s="2"/>
      <c r="F265" s="2" t="s">
        <v>1709</v>
      </c>
      <c r="G265" s="2" t="s">
        <v>75</v>
      </c>
      <c r="H265" s="2" t="s">
        <v>392</v>
      </c>
      <c r="I265" s="2" t="s">
        <v>997</v>
      </c>
      <c r="J265" s="15" t="n">
        <v>413</v>
      </c>
      <c r="K265" s="15"/>
      <c r="L265" s="2"/>
      <c r="M265" s="2" t="str">
        <f aca="false">IF(J265="","",IF(J265&lt;=4,"≤4",IF(J265&lt;=10,"5–10",IF(J265&lt;=20,"11–20",IF(J265&lt;=50,"21–50",IF(J265&lt;=250,"51–250","251+"))))))</f>
        <v>251+</v>
      </c>
      <c r="N265" s="2" t="s">
        <v>305</v>
      </c>
      <c r="O265" s="2"/>
      <c r="P265" s="2"/>
      <c r="Q265" s="2"/>
      <c r="R265" s="16"/>
      <c r="S265" s="2"/>
      <c r="T265" s="16"/>
      <c r="U265" s="2"/>
      <c r="V265" s="16"/>
      <c r="W265" s="2"/>
      <c r="X265" s="2"/>
      <c r="Y265" s="2" t="s">
        <v>1710</v>
      </c>
      <c r="Z265" s="17" t="s">
        <v>1711</v>
      </c>
    </row>
    <row r="266" customFormat="false" ht="46.25" hidden="false" customHeight="false" outlineLevel="0" collapsed="false">
      <c r="A266" s="2" t="s">
        <v>1736</v>
      </c>
      <c r="B266" s="2" t="s">
        <v>1737</v>
      </c>
      <c r="C266" s="2" t="s">
        <v>1708</v>
      </c>
      <c r="D266" s="2"/>
      <c r="E266" s="2"/>
      <c r="F266" s="2" t="s">
        <v>1709</v>
      </c>
      <c r="G266" s="2" t="s">
        <v>75</v>
      </c>
      <c r="H266" s="2" t="s">
        <v>392</v>
      </c>
      <c r="I266" s="2" t="s">
        <v>997</v>
      </c>
      <c r="J266" s="15" t="n">
        <v>386</v>
      </c>
      <c r="K266" s="15"/>
      <c r="L266" s="2"/>
      <c r="M266" s="2" t="str">
        <f aca="false">IF(J266="","",IF(J266&lt;=4,"≤4",IF(J266&lt;=10,"5–10",IF(J266&lt;=20,"11–20",IF(J266&lt;=50,"21–50",IF(J266&lt;=250,"51–250","251+"))))))</f>
        <v>251+</v>
      </c>
      <c r="N266" s="2" t="s">
        <v>290</v>
      </c>
      <c r="O266" s="2"/>
      <c r="P266" s="2"/>
      <c r="Q266" s="2"/>
      <c r="R266" s="16"/>
      <c r="S266" s="2"/>
      <c r="T266" s="16"/>
      <c r="U266" s="2"/>
      <c r="V266" s="16"/>
      <c r="W266" s="2"/>
      <c r="X266" s="2"/>
      <c r="Y266" s="2" t="s">
        <v>1710</v>
      </c>
      <c r="Z266" s="17" t="s">
        <v>1711</v>
      </c>
    </row>
  </sheetData>
  <autoFilter ref="A1:Z266"/>
  <hyperlinks>
    <hyperlink ref="Z2" r:id="rId1" display="https://sfplanning.org/sites/default/files/resources/2024-04/2023_Housing_Inventory.pdf"/>
    <hyperlink ref="Z3" r:id="rId2" display="https://sfplanning.org/sites/default/files/resources/2024-04/2023_Housing_Inventory.pdf"/>
    <hyperlink ref="Z4" r:id="rId3" display="https://sfplanning.org/sites/default/files/resources/2024-04/2023_Housing_Inventory.pdf"/>
    <hyperlink ref="Z5" r:id="rId4" display="https://sfplanning.org/sites/default/files/resources/2024-04/2023_Housing_Inventory.pdf"/>
    <hyperlink ref="Z6" r:id="rId5" display="https://sfplanning.org/sites/default/files/resources/2024-04/2023_Housing_Inventory.pdf"/>
    <hyperlink ref="Z7" r:id="rId6" display="https://sfplanning.org/sites/default/files/resources/2024-04/2023_Housing_Inventory.pdf"/>
    <hyperlink ref="Z8" r:id="rId7" display="https://sfplanning.org/sites/default/files/resources/2024-04/2023_Housing_Inventory.pdf"/>
    <hyperlink ref="Z9" r:id="rId8" display="https://sfplanning.org/sites/default/files/resources/2024-04/2023_Housing_Inventory.pdf"/>
    <hyperlink ref="Z10" r:id="rId9" display="https://sfplanning.org/sites/default/files/resources/2024-04/2023_Housing_Inventory.pdf"/>
    <hyperlink ref="Z11" r:id="rId10" display="https://sfplanning.org/sites/default/files/resources/2024-04/2023_Housing_Inventory.pdf"/>
    <hyperlink ref="Z12" r:id="rId11" display="https://sfplanning.org/sites/default/files/resources/2024-04/2023_Housing_Inventory.pdf"/>
    <hyperlink ref="Z13" r:id="rId12" display="https://sfplanning.org/sites/default/files/resources/2024-04/2023_Housing_Inventory.pdf"/>
    <hyperlink ref="Z14" r:id="rId13" display="https://sfplanning.org/sites/default/files/resources/2024-04/2023_Housing_Inventory.pdf"/>
    <hyperlink ref="Z15" r:id="rId14" display="https://sfplanning.org/sites/default/files/resources/2024-04/2023_Housing_Inventory.pdf"/>
    <hyperlink ref="Z16" r:id="rId15" display="https://sfplanning.org/sites/default/files/resources/2024-04/2023_Housing_Inventory.pdf"/>
    <hyperlink ref="Z17" r:id="rId16" display="https://sfplanning.org/sites/default/files/resources/2025-04/2024_Housing%20Inventory.pdf"/>
    <hyperlink ref="Z18" r:id="rId17" display="https://sfplanning.org/sites/default/files/resources/2025-04/2024_Housing%20Inventory.pdf"/>
    <hyperlink ref="Z19" r:id="rId18" display="https://sfplanning.org/sites/default/files/resources/2025-04/2024_Housing%20Inventory.pdf"/>
    <hyperlink ref="Z20" r:id="rId19" display="https://sfplanning.org/sites/default/files/resources/2025-04/2024_Housing%20Inventory.pdf"/>
    <hyperlink ref="Z21" r:id="rId20" display="https://sfplanning.org/sites/default/files/resources/2025-04/2024_Housing%20Inventory.pdf"/>
    <hyperlink ref="Z22" r:id="rId21" display="https://sfplanning.org/sites/default/files/resources/2025-04/2024_Housing%20Inventory.pdf"/>
    <hyperlink ref="Z23" r:id="rId22" display="https://sfplanning.org/sites/default/files/resources/2025-04/2024_Housing%20Inventory.pdf"/>
    <hyperlink ref="Z24" r:id="rId23" display="https://sfplanning.org/sites/default/files/resources/2025-04/2024_Housing%20Inventory.pdf"/>
    <hyperlink ref="Z25" r:id="rId24" display="https://www.costar.com/article/147377327"/>
    <hyperlink ref="Z26" r:id="rId25" display="https://sfplanning.org/sites/default/files/resources/2026-04/2025_Housing_Inventory.pdf"/>
    <hyperlink ref="Z27" r:id="rId26" display="https://sfplanning.org/sites/default/files/resources/2026-04/2025_Housing_Inventory.pdf"/>
    <hyperlink ref="Z28" r:id="rId27" display="https://sfplanning.org/sites/default/files/resources/2026-04/2025_Housing_Inventory.pdf"/>
    <hyperlink ref="Z29" r:id="rId28" display="https://sfplanning.org/sites/default/files/resources/2026-04/2025_Housing_Inventory.pdf"/>
    <hyperlink ref="Z30" r:id="rId29" display="https://sfplanning.org/sites/default/files/resources/2026-04/2025_Housing_Inventory.pdf"/>
    <hyperlink ref="Z31" r:id="rId30" display="https://sfplanning.org/sites/default/files/resources/2026-04/2025_Housing_Inventory.pdf"/>
    <hyperlink ref="Z32" r:id="rId31" display="https://sfplanning.org/sites/default/files/resources/2026-04/2025_Housing_Inventory.pdf"/>
    <hyperlink ref="Z33" r:id="rId32" display="https://sfplanning.org/sites/default/files/resources/2026-04/2025_Housing_Inventory.pdf"/>
    <hyperlink ref="Z34" r:id="rId33" display="https://www.chinatowncdc.org/our-housing/in-development"/>
    <hyperlink ref="Z35" r:id="rId34" display="https://sfplanning.org/sites/default/files/resources/2026-04/2025_Housing_Inventory.pdf"/>
    <hyperlink ref="Z36" r:id="rId35" display="https://www.treasurer.ca.gov/ctcac/meeting/2023/0823/staff/CA-23-567.pdf"/>
    <hyperlink ref="Z37" r:id="rId36" display="https://www.sf.gov/news/mayor-london-breed-celebrates-groundbreaking-new-senior-housing-development-mission"/>
    <hyperlink ref="Z38" r:id="rId37" display="https://sfplanning.org/sites/default/files/resources/2026-04/2025_Housing_Inventory.pdf"/>
    <hyperlink ref="Z39" r:id="rId38" display="https://sfplanning.org/sites/default/files/resources/2026-04/2025_Housing_Inventory.pdf"/>
    <hyperlink ref="Z40" r:id="rId39" display="https://sfplanning.org/sites/default/files/resources/2026-04/2025_Housing_Inventory.pdf"/>
    <hyperlink ref="Z41" r:id="rId40" display="https://sfplanning.org/sites/default/files/resources/2026-04/2025_Housing_Inventory.pdf"/>
    <hyperlink ref="Z42" r:id="rId41" display="https://sfplanning.org/sites/default/files/resources/2026-04/2025_Housing_Inventory.pdf"/>
    <hyperlink ref="Z43" r:id="rId42" display="https://sfplanning.org/sites/default/files/resources/2026-04/2025_Housing_Inventory.pdf"/>
    <hyperlink ref="Z44" r:id="rId43" display="https://data.sfgov.org/Housing-and-Buildings/Affordable-Housing-Pipeline/aaxw-2cb8"/>
    <hyperlink ref="Z45" r:id="rId44" display="https://sfplanning.org/sites/default/files/resources/2026-04/2025_Housing_Inventory.pdf"/>
    <hyperlink ref="Z46" r:id="rId45" display="https://sfyimby.com/2024/04/sf-supervisors-vote-today-on-115m-loan-for-transbay-block-2-east.html"/>
    <hyperlink ref="Z47" r:id="rId46" display="https://data.sfgov.org/Housing-and-Buildings/Affordable-Housing-Pipeline/aaxw-2cb8"/>
    <hyperlink ref="Z48" r:id="rId47" display="https://www.sfchronicle.com/realestate/article/sf-housing-affordable-apartments-20816373.php"/>
    <hyperlink ref="Z49" r:id="rId48" display="https://www.calhfa.ca.gov/multifamily/mixedincome/approved/20250623-Sutter-Street.pdf"/>
    <hyperlink ref="Z50" r:id="rId49" display="https://www.treasurer.ca.gov/ctcac/meeting/2024/0806/staff/CA-24-535.pdf"/>
    <hyperlink ref="Z51" r:id="rId50" display="https://data.sfgov.org/Housing-and-Buildings/Affordable-Housing-Pipeline/aaxw-2cb8"/>
    <hyperlink ref="Z52" r:id="rId51" display="https://data.sfgov.org/Housing-and-Buildings/Affordable-Housing-Pipeline/aaxw-2cb8"/>
    <hyperlink ref="Z53" r:id="rId52" display="https://data.sfgov.org/Housing-and-Buildings/Affordable-Housing-Pipeline/aaxw-2cb8"/>
    <hyperlink ref="Z54" r:id="rId53" display="https://www.treasurer.ca.gov/ctcac/meeting/2024/1211/staff/CA-24-670.pdf"/>
    <hyperlink ref="Z55" r:id="rId54" display="https://sf.gov/meeting--february-21-2025--citywide-affordable-housing-loan-committee-meeting"/>
    <hyperlink ref="Z56" r:id="rId55" display="https://data.sfgov.org/Housing-and-Buildings/Affordable-Housing-Pipeline/aaxw-2cb8"/>
    <hyperlink ref="Z57" r:id="rId56" display="https://data.sfgov.org/Housing-and-Buildings/Affordable-Housing-Pipeline/aaxw-2cb8"/>
    <hyperlink ref="Z58" r:id="rId57" display="https://data.sfgov.org/Housing-and-Buildings/Affordable-Housing-Pipeline/aaxw-2cb8"/>
    <hyperlink ref="Z59" r:id="rId58" display="https://data.sfgov.org/Housing-and-Buildings/Affordable-Housing-Pipeline/aaxw-2cb8"/>
    <hyperlink ref="Z60" r:id="rId59" display="https://data.sfgov.org/Housing-and-Buildings/Affordable-Housing-Pipeline/aaxw-2cb8"/>
    <hyperlink ref="Z61" r:id="rId60" display="https://data.sfgov.org/Housing-and-Buildings/Affordable-Housing-Pipeline/aaxw-2cb8"/>
    <hyperlink ref="Z62" r:id="rId61" display="https://data.sfgov.org/Housing-and-Buildings/Affordable-Housing-Pipeline/aaxw-2cb8"/>
    <hyperlink ref="Z63" r:id="rId62" display="https://data.sfgov.org/Housing-and-Buildings/Affordable-Housing-Pipeline/aaxw-2cb8"/>
    <hyperlink ref="Z64" r:id="rId63" display="https://data.sfgov.org/Housing-and-Buildings/Affordable-Housing-Pipeline/aaxw-2cb8"/>
    <hyperlink ref="Z65" r:id="rId64" display="https://data.sfgov.org/Housing-and-Buildings/Affordable-Housing-Pipeline/aaxw-2cb8"/>
    <hyperlink ref="Z66" r:id="rId65" display="https://data.sfgov.org/Housing-and-Buildings/Affordable-Housing-Pipeline/aaxw-2cb8"/>
    <hyperlink ref="Z67" r:id="rId66" display="https://data.sfgov.org/Housing-and-Buildings/Affordable-Housing-Pipeline/aaxw-2cb8"/>
    <hyperlink ref="Z68" r:id="rId67" display="https://data.sfgov.org/Housing-and-Buildings/Affordable-Housing-Pipeline/aaxw-2cb8"/>
    <hyperlink ref="Z69" r:id="rId68" display="https://data.sfgov.org/Housing-and-Buildings/Affordable-Housing-Pipeline/aaxw-2cb8"/>
    <hyperlink ref="Z70" r:id="rId69" display="https://therealdeal.com/san-francisco/2025/06/16/exclusive-sneak-peek-of-first-new-condos-on-treasure-island/"/>
    <hyperlink ref="Z71" r:id="rId70" display="https://data.sfgov.org/Housing-and-Buildings/Affordable-Housing-Pipeline/aaxw-2cb8"/>
    <hyperlink ref="Z72" r:id="rId71" display="https://data.sfgov.org/Housing-and-Buildings/Affordable-Housing-Pipeline/aaxw-2cb8"/>
    <hyperlink ref="Z73" r:id="rId72" display="https://data.sfgov.org/Housing-and-Buildings/Affordable-Housing-Pipeline/aaxw-2cb8"/>
    <hyperlink ref="Z74" r:id="rId73" display="https://data.sfgov.org/Housing-and-Buildings/Affordable-Housing-Pipeline/aaxw-2cb8"/>
    <hyperlink ref="Z75" r:id="rId74" display="https://data.sfgov.org/Housing-and-Buildings/Affordable-Housing-Pipeline/aaxw-2cb8"/>
    <hyperlink ref="Z76" r:id="rId75" display="https://data.sfgov.org/Housing-and-Buildings/Affordable-Housing-Pipeline/aaxw-2cb8"/>
    <hyperlink ref="Z77" r:id="rId76" display="https://data.sfgov.org/Housing-and-Buildings/Affordable-Housing-Pipeline/aaxw-2cb8"/>
    <hyperlink ref="Z78" r:id="rId77" display="https://data.sfgov.org/Housing-and-Buildings/Affordable-Housing-Pipeline/aaxw-2cb8"/>
    <hyperlink ref="Z79" r:id="rId78" display="https://data.sfgov.org/Housing-and-Buildings/Affordable-Housing-Pipeline/aaxw-2cb8"/>
    <hyperlink ref="Z80" r:id="rId79" display="https://data.sfgov.org/Housing-and-Buildings/Affordable-Housing-Pipeline/aaxw-2cb8"/>
    <hyperlink ref="Z81" r:id="rId80" display="https://data.sfgov.org/Housing-and-Buildings/Affordable-Housing-Pipeline/aaxw-2cb8"/>
    <hyperlink ref="Z82" r:id="rId81" display="https://data.sfgov.org/Housing-and-Buildings/Affordable-Housing-Pipeline/aaxw-2cb8"/>
    <hyperlink ref="Z83" r:id="rId82" display="https://data.sfgov.org/Housing-and-Buildings/Affordable-Housing-Pipeline/aaxw-2cb8"/>
    <hyperlink ref="Z84" r:id="rId83" display="https://data.sfgov.org/Housing-and-Buildings/Affordable-Housing-Pipeline/aaxw-2cb8"/>
    <hyperlink ref="Z85" r:id="rId84" display="https://data.sfgov.org/Housing-and-Buildings/Affordable-Housing-Pipeline/aaxw-2cb8"/>
    <hyperlink ref="Z86" r:id="rId85" display="https://data.sfgov.org/Housing-and-Buildings/Affordable-Housing-Pipeline/aaxw-2cb8"/>
    <hyperlink ref="Z87" r:id="rId86" display="https://data.sfgov.org/Housing-and-Buildings/Affordable-Housing-Pipeline/aaxw-2cb8"/>
    <hyperlink ref="Z88" r:id="rId87" display="https://data.sfgov.org/Housing-and-Buildings/Affordable-Housing-Pipeline/aaxw-2cb8"/>
    <hyperlink ref="Z89" r:id="rId88" display="https://data.sfgov.org/Housing-and-Buildings/Affordable-Housing-Pipeline/aaxw-2cb8"/>
    <hyperlink ref="Z90" r:id="rId89" display="https://data.sfgov.org/Housing-and-Buildings/Affordable-Housing-Pipeline/aaxw-2cb8"/>
    <hyperlink ref="Z91" r:id="rId90" display="https://data.sfgov.org/Housing-and-Buildings/Affordable-Housing-Pipeline/aaxw-2cb8"/>
    <hyperlink ref="Z92" r:id="rId91" display="https://data.sfgov.org/Housing-and-Buildings/Affordable-Housing-Pipeline/aaxw-2cb8"/>
    <hyperlink ref="Z93" r:id="rId92" display="https://data.sfgov.org/Housing-and-Buildings/Affordable-Housing-Pipeline/aaxw-2cb8"/>
    <hyperlink ref="Z94" r:id="rId93" display="https://data.sfgov.org/Housing-and-Buildings/Affordable-Housing-Pipeline/aaxw-2cb8"/>
    <hyperlink ref="Z95" r:id="rId94" display="https://data.sfgov.org/Housing-and-Buildings/Affordable-Housing-Pipeline/aaxw-2cb8"/>
    <hyperlink ref="Z96" r:id="rId95" display="https://data.sfgov.org/Housing-and-Buildings/Affordable-Housing-Pipeline/aaxw-2cb8"/>
    <hyperlink ref="Z97" r:id="rId96" display="https://data.sfgov.org/Housing-and-Buildings/Affordable-Housing-Pipeline/aaxw-2cb8"/>
    <hyperlink ref="Z98" r:id="rId97" display="https://data.sfgov.org/Housing-and-Buildings/Affordable-Housing-Pipeline/aaxw-2cb8"/>
    <hyperlink ref="Z99" r:id="rId98" display="https://data.sfgov.org/Housing-and-Buildings/Affordable-Housing-Pipeline/aaxw-2cb8"/>
    <hyperlink ref="Z100" r:id="rId99" display="https://data.sfgov.org/Housing-and-Buildings/Affordable-Housing-Pipeline/aaxw-2cb8"/>
    <hyperlink ref="Z101" r:id="rId100" display="https://data.sfgov.org/Housing-and-Buildings/Affordable-Housing-Pipeline/aaxw-2cb8"/>
    <hyperlink ref="Z102" r:id="rId101" display="https://data.sfgov.org/Housing-and-Buildings/Affordable-Housing-Pipeline/aaxw-2cb8"/>
    <hyperlink ref="Z103" r:id="rId102" display="https://data.sfgov.org/Housing-and-Buildings/Affordable-Housing-Pipeline/aaxw-2cb8"/>
    <hyperlink ref="Z104" r:id="rId103" display="https://data.sfgov.org/Housing-and-Buildings/Affordable-Housing-Pipeline/aaxw-2cb8"/>
    <hyperlink ref="Z105" r:id="rId104" display="https://data.sfgov.org/Housing-and-Buildings/Affordable-Housing-Pipeline/aaxw-2cb8"/>
    <hyperlink ref="Z106" r:id="rId105" display="https://data.sfgov.org/Housing-and-Buildings/Affordable-Housing-Pipeline/aaxw-2cb8"/>
    <hyperlink ref="Z107" r:id="rId106" display="https://data.sfgov.org/Housing-and-Buildings/Affordable-Housing-Pipeline/aaxw-2cb8"/>
    <hyperlink ref="Z108" r:id="rId107" display="https://data.sfgov.org/Housing-and-Buildings/Affordable-Housing-Pipeline/aaxw-2cb8"/>
    <hyperlink ref="Z109" r:id="rId108" display="https://data.sfgov.org/Housing-and-Buildings/Affordable-Housing-Pipeline/aaxw-2cb8"/>
    <hyperlink ref="Z110" r:id="rId109" display="https://data.sfgov.org/Housing-and-Buildings/Affordable-Housing-Pipeline/aaxw-2cb8"/>
    <hyperlink ref="Z111" r:id="rId110" display="https://data.sfgov.org/Housing-and-Buildings/Affordable-Housing-Pipeline/aaxw-2cb8"/>
    <hyperlink ref="Z112" r:id="rId111" display="https://data.sfgov.org/Housing-and-Buildings/Affordable-Housing-Pipeline/aaxw-2cb8"/>
    <hyperlink ref="Z113" r:id="rId112" display="https://data.sfgov.org/Housing-and-Buildings/Affordable-Housing-Pipeline/aaxw-2cb8"/>
    <hyperlink ref="Z114" r:id="rId113" display="https://data.sfgov.org/Housing-and-Buildings/Affordable-Housing-Pipeline/aaxw-2cb8"/>
    <hyperlink ref="Z115" r:id="rId114" display="https://sfyimby.com/?p=44235"/>
    <hyperlink ref="Z116" r:id="rId115" display="https://sfyimby.com/?p=22568"/>
    <hyperlink ref="Z117" r:id="rId116" display="https://www.sf.gov/meeting--november-07--2025--citywide-affordable-housing-loan-committee-meeting"/>
    <hyperlink ref="Z118" r:id="rId117" display="https://sfplanning.org/sites/default/files/resources/2026-04/2025_Housing_Inventory.pdf"/>
    <hyperlink ref="Z119" r:id="rId118" display="https://sfplanning.org/sites/default/files/resources/2026-04/2025_Housing_Inventory.pdf"/>
    <hyperlink ref="Z120" r:id="rId119" display="https://data.sfgov.org/Housing-and-Buildings/Affordable-Housing-Pipeline/aaxw-2cb8"/>
    <hyperlink ref="Z121" r:id="rId120" display="https://data.sfgov.org/Housing-and-Buildings/Affordable-Housing-Pipeline/aaxw-2cb8"/>
    <hyperlink ref="Z122" r:id="rId121" display="https://sfplanning.org/sites/default/files/resources/2026-04/2025_Housing_Inventory.pdf"/>
    <hyperlink ref="Z123" r:id="rId122" display="https://sfplanning.org/sites/default/files/resources/2026-04/2025_Housing_Inventory.pdf"/>
    <hyperlink ref="Z124" r:id="rId123" display="https://data.sfgov.org/Housing-and-Buildings/Affordable-Housing-Pipeline/aaxw-2cb8"/>
    <hyperlink ref="Z125" r:id="rId124" display="https://sfplanning.org/sites/default/files/resources/2026-04/2025_Housing_Inventory.pdf"/>
    <hyperlink ref="Z126" r:id="rId125" display="https://sfplanning.org/sites/default/files/resources/2026-04/2025_Housing_Inventory.pdf"/>
    <hyperlink ref="Z127" r:id="rId126" display="https://sfplanning.org/sites/default/files/resources/2026-04/2025_Housing_Inventory.pdf"/>
    <hyperlink ref="Z128" r:id="rId127" display="https://sfplanning.org/sites/default/files/resources/2026-04/2025_Housing_Inventory.pdf"/>
    <hyperlink ref="Z129" r:id="rId128" display="https://data.sfgov.org/Housing-and-Buildings/Affordable-Housing-Pipeline/aaxw-2cb8"/>
    <hyperlink ref="Z130" r:id="rId129" display="https://sfplanning.org/sites/default/files/resources/2026-04/2025_Housing_Inventory.pdf"/>
    <hyperlink ref="Z131" r:id="rId130" display="https://data.sfgov.org/Housing-and-Buildings/Affordable-Housing-Pipeline/aaxw-2cb8"/>
    <hyperlink ref="Z132" r:id="rId131" display="https://sfplanning.org/sites/default/files/resources/2025-04/2024_Housing%20Inventory.pdf"/>
    <hyperlink ref="Z133" r:id="rId132" display="https://sfplanning.org/sites/default/files/resources/2025-04/2024_Housing%20Inventory.pdf"/>
    <hyperlink ref="Z134" r:id="rId133" display="https://sfplanning.org/sites/default/files/resources/2025-04/2024_Housing%20Inventory.pdf"/>
    <hyperlink ref="Z135" r:id="rId134" display="https://sfplanning.org/sites/default/files/resources/2025-04/2024_Housing%20Inventory.pdf"/>
    <hyperlink ref="Z136" r:id="rId135" display="https://data.sfgov.org/Housing-and-Buildings/Affordable-Housing-Pipeline/aaxw-2cb8"/>
    <hyperlink ref="Z137" r:id="rId136" display="https://sfplanning.org/sites/default/files/resources/2025-04/2024_Housing%20Inventory.pdf"/>
    <hyperlink ref="Z138" r:id="rId137" display="https://sfplanning.org/sites/default/files/resources/2025-04/2024_Housing%20Inventory.pdf"/>
    <hyperlink ref="Z139" r:id="rId138" display="https://sfplanning.org/sites/default/files/resources/2025-04/2024_Housing%20Inventory.pdf"/>
    <hyperlink ref="Z140" r:id="rId139" display="https://data.sfgov.org/Housing-and-Buildings/Affordable-Housing-Pipeline/aaxw-2cb8"/>
    <hyperlink ref="Z141" r:id="rId140" display="https://sfplanning.org/sites/default/files/resources/2025-04/2024_Housing%20Inventory.pdf"/>
    <hyperlink ref="Z142" r:id="rId141" display="https://data.sfgov.org/Housing-and-Buildings/Affordable-Housing-Pipeline/aaxw-2cb8"/>
    <hyperlink ref="Z143" r:id="rId142" display="https://sfplanning.org/sites/default/files/resources/2025-04/2024_Housing%20Inventory.pdf"/>
    <hyperlink ref="Z144" r:id="rId143" display="https://sfplanning.org/sites/default/files/resources/2025-04/2024_Housing%20Inventory.pdf"/>
    <hyperlink ref="Z145" r:id="rId144" display="https://sfplanning.org/sites/default/files/resources/2024-04/2023_Housing_Inventory.pdf"/>
    <hyperlink ref="Z146" r:id="rId145" display="https://data.sfgov.org/Housing-and-Buildings/Affordable-Housing-Pipeline/aaxw-2cb8"/>
    <hyperlink ref="Z147" r:id="rId146" display="https://data.sfgov.org/Housing-and-Buildings/Affordable-Housing-Pipeline/aaxw-2cb8"/>
    <hyperlink ref="Z148" r:id="rId147" display="https://data.sfgov.org/Housing-and-Buildings/Affordable-Housing-Pipeline/aaxw-2cb8"/>
    <hyperlink ref="Z149" r:id="rId148" display="https://sfplanning.org/sites/default/files/resources/2024-04/2023_Housing_Inventory.pdf"/>
    <hyperlink ref="Z150" r:id="rId149" display="https://data.sfgov.org/Housing-and-Buildings/Affordable-Housing-Pipeline/aaxw-2cb8"/>
    <hyperlink ref="Z151" r:id="rId150" display="https://data.sfgov.org/Housing-and-Buildings/Affordable-Housing-Pipeline/aaxw-2cb8"/>
    <hyperlink ref="Z152" r:id="rId151" display="https://data.sfgov.org/Housing-and-Buildings/Affordable-Housing-Pipeline/aaxw-2cb8"/>
    <hyperlink ref="Z153" r:id="rId152" display="https://sfplanning.org/sites/default/files/resources/2024-04/2023_Housing_Inventory.pdf"/>
    <hyperlink ref="Z154" r:id="rId153" display="https://data.sfgov.org/Housing-and-Buildings/Affordable-Housing-Pipeline/aaxw-2cb8"/>
    <hyperlink ref="Z155" r:id="rId154" display="https://data.sfgov.org/Housing-and-Buildings/Affordable-Housing-Pipeline/aaxw-2cb8"/>
    <hyperlink ref="Z156" r:id="rId155" display="https://data.sfgov.org/Housing-and-Buildings/Affordable-Housing-Pipeline/aaxw-2cb8"/>
    <hyperlink ref="Z157" r:id="rId156" display="https://sfplanning.org/sites/default/files/resources/2024-04/2023_Housing_Inventory.pdf"/>
    <hyperlink ref="Z158" r:id="rId157" display="https://data.sfgov.org/Housing-and-Buildings/Affordable-Housing-Pipeline/aaxw-2cb8"/>
    <hyperlink ref="Z159" r:id="rId158" display="https://data.sfgov.org/Housing-and-Buildings/Affordable-Housing-Pipeline/aaxw-2cb8"/>
    <hyperlink ref="Z160" r:id="rId159" display="https://data.sfgov.org/Housing-and-Buildings/Affordable-Housing-Pipeline/aaxw-2cb8"/>
    <hyperlink ref="Z161" r:id="rId160" display="https://data.sfgov.org/Housing-and-Buildings/Affordable-Housing-Pipeline/aaxw-2cb8"/>
    <hyperlink ref="Z162" r:id="rId161" display="https://data.sfgov.org/Housing-and-Buildings/Affordable-Housing-Pipeline/aaxw-2cb8"/>
    <hyperlink ref="Z163" r:id="rId162" display="https://data.sfgov.org/Housing-and-Buildings/Affordable-Housing-Pipeline/aaxw-2cb8"/>
    <hyperlink ref="Z164" r:id="rId163" display="https://data.sfgov.org/Housing-and-Buildings/Affordable-Housing-Pipeline/aaxw-2cb8"/>
    <hyperlink ref="Z165" r:id="rId164" display="https://data.sfgov.org/Housing-and-Buildings/Affordable-Housing-Pipeline/aaxw-2cb8"/>
    <hyperlink ref="Z166" r:id="rId165" display="https://data.sfgov.org/Housing-and-Buildings/Affordable-Housing-Pipeline/aaxw-2cb8"/>
    <hyperlink ref="Z167" r:id="rId166" display="https://data.sfgov.org/Housing-and-Buildings/Affordable-Housing-Pipeline/aaxw-2cb8"/>
    <hyperlink ref="Z168" r:id="rId167" display="https://data.sfgov.org/Housing-and-Buildings/Affordable-Housing-Pipeline/aaxw-2cb8"/>
    <hyperlink ref="Z169" r:id="rId168" display="https://data.sfgov.org/Housing-and-Buildings/Affordable-Housing-Pipeline/aaxw-2cb8"/>
    <hyperlink ref="Z170" r:id="rId169" display="https://data.sfgov.org/Housing-and-Buildings/Affordable-Housing-Pipeline/aaxw-2cb8"/>
    <hyperlink ref="Z171" r:id="rId170" display="https://data.sfgov.org/Housing-and-Buildings/Affordable-Housing-Pipeline/aaxw-2cb8"/>
    <hyperlink ref="Z172" r:id="rId171" display="https://data.sfgov.org/Housing-and-Buildings/Affordable-Housing-Pipeline/aaxw-2cb8"/>
    <hyperlink ref="Z173" r:id="rId172" display="https://data.sfgov.org/Housing-and-Buildings/Affordable-Housing-Pipeline/aaxw-2cb8"/>
    <hyperlink ref="Z174" r:id="rId173" display="https://data.sfgov.org/Housing-and-Buildings/Affordable-Housing-Pipeline/aaxw-2cb8"/>
    <hyperlink ref="Z175" r:id="rId174" display="https://data.sfgov.org/Housing-and-Buildings/Affordable-Housing-Pipeline/aaxw-2cb8"/>
    <hyperlink ref="Z176" r:id="rId175" display="https://data.sfgov.org/Housing-and-Buildings/Affordable-Housing-Pipeline/aaxw-2cb8"/>
    <hyperlink ref="Z177" r:id="rId176" display="https://data.sfgov.org/Housing-and-Buildings/Affordable-Housing-Pipeline/aaxw-2cb8"/>
    <hyperlink ref="Z178" r:id="rId177" display="https://data.sfgov.org/Housing-and-Buildings/Affordable-Housing-Pipeline/aaxw-2cb8"/>
    <hyperlink ref="Z179" r:id="rId178" display="https://data.sfgov.org/Housing-and-Buildings/Affordable-Housing-Pipeline/aaxw-2cb8"/>
    <hyperlink ref="Z180" r:id="rId179" display="https://data.sfgov.org/Housing-and-Buildings/Affordable-Housing-Pipeline/aaxw-2cb8"/>
    <hyperlink ref="Z181" r:id="rId180" display="https://data.sfgov.org/Housing-and-Buildings/Affordable-Housing-Pipeline/aaxw-2cb8"/>
    <hyperlink ref="Z182" r:id="rId181" display="https://data.sfgov.org/Housing-and-Buildings/Affordable-Housing-Pipeline/aaxw-2cb8"/>
    <hyperlink ref="Z183" r:id="rId182" display="https://data.sfgov.org/Housing-and-Buildings/Affordable-Housing-Pipeline/aaxw-2cb8"/>
    <hyperlink ref="Z184" r:id="rId183" display="https://data.sfgov.org/Housing-and-Buildings/Affordable-Housing-Pipeline/aaxw-2cb8"/>
    <hyperlink ref="Z185" r:id="rId184" display="https://data.sfgov.org/Housing-and-Buildings/Affordable-Housing-Pipeline/aaxw-2cb8"/>
    <hyperlink ref="Z186" r:id="rId185" display="https://data.sfgov.org/Housing-and-Buildings/Affordable-Housing-Pipeline/aaxw-2cb8"/>
    <hyperlink ref="Z187" r:id="rId186" display="https://data.sfgov.org/Housing-and-Buildings/Affordable-Housing-Pipeline/aaxw-2cb8"/>
    <hyperlink ref="Z188" r:id="rId187" display="https://data.sfgov.org/Housing-and-Buildings/Affordable-Housing-Pipeline/aaxw-2cb8"/>
    <hyperlink ref="Z189" r:id="rId188" display="https://data.sfgov.org/Housing-and-Buildings/Affordable-Housing-Pipeline/aaxw-2cb8"/>
    <hyperlink ref="Z190" r:id="rId189" display="https://data.sfgov.org/Housing-and-Buildings/Affordable-Housing-Pipeline/aaxw-2cb8"/>
    <hyperlink ref="Z191" r:id="rId190" display="https://data.sfgov.org/Housing-and-Buildings/Affordable-Housing-Pipeline/aaxw-2cb8"/>
    <hyperlink ref="Z192" r:id="rId191" display="https://data.sfgov.org/Housing-and-Buildings/Affordable-Housing-Pipeline/aaxw-2cb8"/>
    <hyperlink ref="Z193" r:id="rId192" display="https://data.sfgov.org/Housing-and-Buildings/Affordable-Housing-Pipeline/aaxw-2cb8"/>
    <hyperlink ref="Z194" r:id="rId193" display="https://data.sfgov.org/Housing-and-Buildings/Affordable-Housing-Pipeline/aaxw-2cb8"/>
    <hyperlink ref="Z195" r:id="rId194" display="https://data.sfgov.org/Housing-and-Buildings/Affordable-Housing-Pipeline/aaxw-2cb8"/>
    <hyperlink ref="Z196" r:id="rId195" display="https://data.sfgov.org/Housing-and-Buildings/Affordable-Housing-Pipeline/aaxw-2cb8"/>
    <hyperlink ref="Z197" r:id="rId196" display="https://data.sfgov.org/Housing-and-Buildings/Affordable-Housing-Pipeline/aaxw-2cb8"/>
    <hyperlink ref="Z198" r:id="rId197" display="https://data.sfgov.org/Housing-and-Buildings/Affordable-Housing-Pipeline/aaxw-2cb8"/>
    <hyperlink ref="Z199" r:id="rId198" display="https://data.sfgov.org/Housing-and-Buildings/Affordable-Housing-Pipeline/aaxw-2cb8"/>
    <hyperlink ref="Z200" r:id="rId199" display="https://data.sfgov.org/Housing-and-Buildings/Affordable-Housing-Pipeline/aaxw-2cb8"/>
    <hyperlink ref="Z201" r:id="rId200" display="https://data.sfgov.org/Housing-and-Buildings/Affordable-Housing-Pipeline/aaxw-2cb8"/>
    <hyperlink ref="Z202" r:id="rId201" display="https://data.sfgov.org/Housing-and-Buildings/Affordable-Housing-Pipeline/aaxw-2cb8"/>
    <hyperlink ref="Z203" r:id="rId202" display="https://data.sfgov.org/Housing-and-Buildings/Affordable-Housing-Pipeline/aaxw-2cb8"/>
    <hyperlink ref="Z204" r:id="rId203" display="https://data.sfgov.org/Housing-and-Buildings/Affordable-Housing-Pipeline/aaxw-2cb8"/>
    <hyperlink ref="Z205" r:id="rId204" display="https://data.sfgov.org/Housing-and-Buildings/Affordable-Housing-Pipeline/aaxw-2cb8"/>
    <hyperlink ref="Z206" r:id="rId205" display="https://data.sfgov.org/Housing-and-Buildings/Affordable-Housing-Pipeline/aaxw-2cb8"/>
    <hyperlink ref="Z207" r:id="rId206" display="https://data.sfgov.org/Housing-and-Buildings/Affordable-Housing-Pipeline/aaxw-2cb8"/>
    <hyperlink ref="Z208" r:id="rId207" display="https://data.sfgov.org/Housing-and-Buildings/Affordable-Housing-Pipeline/aaxw-2cb8"/>
    <hyperlink ref="Z209" r:id="rId208" display="https://data.sfgov.org/Housing-and-Buildings/Affordable-Housing-Pipeline/aaxw-2cb8"/>
    <hyperlink ref="Z210" r:id="rId209" display="https://sfplanning.org/sites/default/files/resources/2026-04/2025_Housing_Inventory.pdf"/>
    <hyperlink ref="Z211" r:id="rId210" display="https://sfplanning.org/sites/default/files/resources/2026-04/2025_Housing_Inventory.pdf"/>
    <hyperlink ref="Z212" r:id="rId211" display="https://sfplanning.org/sites/default/files/resources/2026-04/2025_Housing_Inventory.pdf"/>
    <hyperlink ref="Z213" r:id="rId212" display="https://sfplanning.org/sites/default/files/resources/2026-04/2025_Housing_Inventory.pdf"/>
    <hyperlink ref="Z214" r:id="rId213" display="https://sfplanning.org/sites/default/files/resources/2026-04/2025_Housing_Inventory.pdf"/>
    <hyperlink ref="Z215" r:id="rId214" display="https://sfplanning.org/sites/default/files/resources/2026-04/2025_Housing_Inventory.pdf"/>
    <hyperlink ref="Z216" r:id="rId215" display="https://data.sfgov.org/Housing-and-Buildings/Affordable-Housing-Pipeline/aaxw-2cb8"/>
    <hyperlink ref="Z217" r:id="rId216" display="https://data.sfgov.org/Housing-and-Buildings/Affordable-Housing-Pipeline/aaxw-2cb8"/>
    <hyperlink ref="Z218" r:id="rId217" display="https://data.sfgov.org/Housing-and-Buildings/Affordable-Housing-Pipeline/aaxw-2cb8"/>
    <hyperlink ref="Z219" r:id="rId218" display="https://sfplanning.org/sites/default/files/resources/2026-04/2025_Housing_Inventory.pdf"/>
    <hyperlink ref="Z220" r:id="rId219" display="https://sfplanning.org/sites/default/files/resources/2026-04/2025_Housing_Inventory.pdf"/>
    <hyperlink ref="Z221" r:id="rId220" display="https://sfplanning.org/sites/default/files/resources/2026-04/2025_Housing_Inventory.pdf"/>
    <hyperlink ref="Z222" r:id="rId221" display="https://sfplanning.org/sites/default/files/resources/2026-04/2025_Housing_Inventory.pdf"/>
    <hyperlink ref="Z223" r:id="rId222" display="https://sfplanning.org/sites/default/files/resources/2026-04/2025_Housing_Inventory.pdf"/>
    <hyperlink ref="Z224" r:id="rId223" display="https://sfplanning.org/sites/default/files/resources/2025-04/2024_Housing%20Inventory.pdf"/>
    <hyperlink ref="Z225" r:id="rId224" display="https://sfplanning.org/sites/default/files/resources/2025-04/2024_Housing%20Inventory.pdf"/>
    <hyperlink ref="Z226" r:id="rId225" display="https://sfplanning.org/sites/default/files/resources/2025-04/2024_Housing%20Inventory.pdf"/>
    <hyperlink ref="Z227" r:id="rId226" display="https://sfplanning.org/sites/default/files/resources/2024-04/2023_Housing_Inventory.pdf"/>
    <hyperlink ref="Z228" r:id="rId227" display="https://sfplanning.org/sites/default/files/resources/2024-04/2023_Housing_Inventory.pdf"/>
    <hyperlink ref="Z229" r:id="rId228" display="https://sfplanning.org/sites/default/files/resources/2024-04/2023_Housing_Inventory.pdf"/>
    <hyperlink ref="Z230" r:id="rId229" display="https://sfplanning.org/sites/default/files/resources/2024-04/2023_Housing_Inventory.pdf"/>
    <hyperlink ref="Z231" r:id="rId230" display="https://data.sfgov.org/Housing-and-Buildings/Affordable-Housing-Pipeline/aaxw-2cb8"/>
    <hyperlink ref="Z232" r:id="rId231" display="https://data.sfgov.org/Housing-and-Buildings/Affordable-Housing-Pipeline/aaxw-2cb8"/>
    <hyperlink ref="Z233" r:id="rId232" display="https://data.sfgov.org/Housing-and-Buildings/Affordable-Housing-Pipeline/aaxw-2cb8"/>
    <hyperlink ref="Z234" r:id="rId233" display="https://data.sfgov.org/Housing-and-Buildings/Affordable-Housing-Pipeline/aaxw-2cb8"/>
    <hyperlink ref="Z235" r:id="rId234" display="https://data.sfgov.org/Housing-and-Buildings/Affordable-Housing-Pipeline/aaxw-2cb8"/>
    <hyperlink ref="Z236" r:id="rId235" display="https://data.sfgov.org/Housing-and-Buildings/Affordable-Housing-Pipeline/aaxw-2cb8"/>
    <hyperlink ref="Z237" r:id="rId236" display="https://data.sfgov.org/Housing-and-Buildings/Affordable-Housing-Pipeline/aaxw-2cb8"/>
    <hyperlink ref="Z238" r:id="rId237" display="https://data.sfgov.org/Housing-and-Buildings/Affordable-Housing-Pipeline/aaxw-2cb8"/>
    <hyperlink ref="Z239" r:id="rId238" display="https://data.sfgov.org/Housing-and-Buildings/Affordable-Housing-Pipeline/aaxw-2cb8"/>
    <hyperlink ref="Z240" r:id="rId239" display="https://data.sfgov.org/Housing-and-Buildings/Affordable-Housing-Pipeline/aaxw-2cb8"/>
    <hyperlink ref="Z241" r:id="rId240" display="https://data.sfgov.org/Housing-and-Buildings/Affordable-Housing-Pipeline/aaxw-2cb8"/>
    <hyperlink ref="Z242" r:id="rId241" display="https://data.sfgov.org/Housing-and-Buildings/Affordable-Housing-Pipeline/aaxw-2cb8"/>
    <hyperlink ref="Z243" r:id="rId242" display="https://sfplanning.org/project/freedom-west-homes-project"/>
    <hyperlink ref="Z244" r:id="rId243" display="https://data.sfgov.org/Housing-and-Buildings/Affordable-Housing-Pipeline/aaxw-2cb8"/>
    <hyperlink ref="Z245" r:id="rId244" display="https://data.sfgov.org/Housing-and-Buildings/Affordable-Housing-Pipeline/aaxw-2cb8"/>
    <hyperlink ref="Z246" r:id="rId245" display="https://data.sfgov.org/Housing-and-Buildings/Affordable-Housing-Pipeline/aaxw-2cb8"/>
    <hyperlink ref="Z247" r:id="rId246" display="https://data.sfgov.org/Housing-and-Buildings/Affordable-Housing-Pipeline/aaxw-2cb8"/>
    <hyperlink ref="Z248" r:id="rId247" display="https://data.sfgov.org/Housing-and-Buildings/Affordable-Housing-Pipeline/aaxw-2cb8"/>
    <hyperlink ref="Z249" r:id="rId248" display="https://data.sfgov.org/Housing-and-Buildings/Affordable-Housing-Pipeline/aaxw-2cb8"/>
    <hyperlink ref="Z250" r:id="rId249" display="https://data.sfgov.org/Housing-and-Buildings/Affordable-Housing-Pipeline/aaxw-2cb8"/>
    <hyperlink ref="Z251" r:id="rId250" display="https://data.sfgov.org/Housing-and-Buildings/Affordable-Housing-Pipeline/aaxw-2cb8"/>
    <hyperlink ref="Z252" r:id="rId251" display="https://www.sf.gov/news/mayor-london-breed-celebrates-groundbreaking-new-senior-housing-development-mission"/>
    <hyperlink ref="Z253" r:id="rId252" display="https://sfplanning.org/project/pipeline-report"/>
    <hyperlink ref="Z254" r:id="rId253" display="https://sfplanning.org/project/pipeline-report"/>
    <hyperlink ref="Z255" r:id="rId254" display="https://sfplanning.org/project/pipeline-report"/>
    <hyperlink ref="Z256" r:id="rId255" display="https://sfplanning.org/project/pipeline-report"/>
    <hyperlink ref="Z257" r:id="rId256" display="https://sfplanning.org/project/pipeline-report"/>
    <hyperlink ref="Z258" r:id="rId257" display="https://sfplanning.org/project/pipeline-report"/>
    <hyperlink ref="Z259" r:id="rId258" display="https://sfplanning.org/project/pipeline-report"/>
    <hyperlink ref="Z260" r:id="rId259" display="https://sfplanning.org/project/pipeline-report"/>
    <hyperlink ref="Z261" r:id="rId260" display="https://sfplanning.org/project/pipeline-report"/>
    <hyperlink ref="Z262" r:id="rId261" display="https://sfplanning.org/project/pipeline-report"/>
    <hyperlink ref="Z263" r:id="rId262" display="https://sfplanning.org/project/pipeline-report"/>
    <hyperlink ref="Z264" r:id="rId263" display="https://sfplanning.org/project/pipeline-report"/>
    <hyperlink ref="Z265" r:id="rId264" display="https://sfplanning.org/project/pipeline-report"/>
    <hyperlink ref="Z266" r:id="rId265" display="https://sfplanning.org/project/pipeline-repo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6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4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60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4" t="s">
        <v>1738</v>
      </c>
    </row>
    <row r="2" customFormat="false" ht="15" hidden="false" customHeight="false" outlineLevel="0" collapsed="false">
      <c r="A2" s="7" t="s">
        <v>1739</v>
      </c>
      <c r="B2" s="7" t="s">
        <v>29</v>
      </c>
      <c r="C2" s="7" t="s">
        <v>1740</v>
      </c>
      <c r="D2" s="7" t="s">
        <v>1741</v>
      </c>
      <c r="E2" s="7" t="s">
        <v>1742</v>
      </c>
      <c r="F2" s="7" t="s">
        <v>1743</v>
      </c>
      <c r="G2" s="7" t="s">
        <v>1744</v>
      </c>
    </row>
    <row r="3" customFormat="false" ht="15" hidden="false" customHeight="false" outlineLevel="0" collapsed="false">
      <c r="A3" s="8" t="s">
        <v>1745</v>
      </c>
      <c r="B3" s="8" t="s">
        <v>1746</v>
      </c>
      <c r="C3" s="8" t="s">
        <v>1747</v>
      </c>
      <c r="D3" s="19" t="s">
        <v>451</v>
      </c>
      <c r="E3" s="8" t="s">
        <v>1748</v>
      </c>
      <c r="F3" s="8" t="s">
        <v>1749</v>
      </c>
      <c r="G3" s="8" t="s">
        <v>1750</v>
      </c>
    </row>
    <row r="4" customFormat="false" ht="15" hidden="false" customHeight="false" outlineLevel="0" collapsed="false">
      <c r="A4" s="8" t="s">
        <v>1751</v>
      </c>
      <c r="B4" s="8" t="s">
        <v>1752</v>
      </c>
      <c r="C4" s="8" t="s">
        <v>1747</v>
      </c>
      <c r="D4" s="19" t="s">
        <v>405</v>
      </c>
      <c r="E4" s="8" t="s">
        <v>1748</v>
      </c>
      <c r="F4" s="8" t="s">
        <v>1753</v>
      </c>
      <c r="G4" s="8" t="s">
        <v>1754</v>
      </c>
    </row>
    <row r="5" customFormat="false" ht="15" hidden="false" customHeight="false" outlineLevel="0" collapsed="false">
      <c r="A5" s="8" t="s">
        <v>1755</v>
      </c>
      <c r="B5" s="8" t="s">
        <v>1756</v>
      </c>
      <c r="C5" s="8" t="s">
        <v>1747</v>
      </c>
      <c r="D5" s="19" t="s">
        <v>339</v>
      </c>
      <c r="E5" s="8" t="s">
        <v>1748</v>
      </c>
      <c r="F5" s="8" t="s">
        <v>1757</v>
      </c>
      <c r="G5" s="8" t="s">
        <v>1754</v>
      </c>
    </row>
    <row r="6" customFormat="false" ht="15" hidden="false" customHeight="false" outlineLevel="0" collapsed="false">
      <c r="A6" s="8" t="s">
        <v>1758</v>
      </c>
      <c r="B6" s="8" t="s">
        <v>1759</v>
      </c>
      <c r="C6" s="8" t="s">
        <v>1747</v>
      </c>
      <c r="D6" s="19" t="s">
        <v>1760</v>
      </c>
      <c r="E6" s="8" t="s">
        <v>1748</v>
      </c>
      <c r="F6" s="8" t="s">
        <v>1761</v>
      </c>
      <c r="G6" s="8" t="s">
        <v>1762</v>
      </c>
    </row>
    <row r="7" customFormat="false" ht="15" hidden="false" customHeight="false" outlineLevel="0" collapsed="false">
      <c r="A7" s="8" t="s">
        <v>1763</v>
      </c>
      <c r="B7" s="8" t="s">
        <v>1764</v>
      </c>
      <c r="C7" s="8" t="s">
        <v>1747</v>
      </c>
      <c r="D7" s="19" t="s">
        <v>1711</v>
      </c>
      <c r="E7" s="8" t="s">
        <v>1748</v>
      </c>
      <c r="F7" s="8" t="s">
        <v>1765</v>
      </c>
      <c r="G7" s="8" t="s">
        <v>1766</v>
      </c>
    </row>
    <row r="8" customFormat="false" ht="15" hidden="false" customHeight="false" outlineLevel="0" collapsed="false">
      <c r="A8" s="8" t="s">
        <v>1767</v>
      </c>
      <c r="B8" s="8" t="s">
        <v>1768</v>
      </c>
      <c r="C8" s="8" t="s">
        <v>1769</v>
      </c>
      <c r="D8" s="19" t="s">
        <v>1770</v>
      </c>
      <c r="E8" s="8" t="s">
        <v>1748</v>
      </c>
      <c r="F8" s="8" t="s">
        <v>1771</v>
      </c>
      <c r="G8" s="8" t="s">
        <v>1772</v>
      </c>
    </row>
    <row r="9" customFormat="false" ht="15" hidden="false" customHeight="false" outlineLevel="0" collapsed="false">
      <c r="A9" s="8" t="s">
        <v>1773</v>
      </c>
      <c r="B9" s="8" t="s">
        <v>1774</v>
      </c>
      <c r="C9" s="8" t="s">
        <v>1775</v>
      </c>
      <c r="D9" s="19" t="s">
        <v>543</v>
      </c>
      <c r="E9" s="8" t="s">
        <v>1748</v>
      </c>
      <c r="F9" s="8" t="s">
        <v>1776</v>
      </c>
      <c r="G9" s="8" t="s">
        <v>1777</v>
      </c>
    </row>
    <row r="10" customFormat="false" ht="15" hidden="false" customHeight="false" outlineLevel="0" collapsed="false">
      <c r="A10" s="8" t="s">
        <v>1778</v>
      </c>
      <c r="B10" s="8" t="s">
        <v>1779</v>
      </c>
      <c r="C10" s="8" t="s">
        <v>1747</v>
      </c>
      <c r="D10" s="19" t="s">
        <v>1780</v>
      </c>
      <c r="E10" s="8" t="s">
        <v>1748</v>
      </c>
      <c r="F10" s="8" t="s">
        <v>1781</v>
      </c>
      <c r="G10" s="8" t="s">
        <v>1782</v>
      </c>
    </row>
    <row r="11" customFormat="false" ht="15" hidden="false" customHeight="false" outlineLevel="0" collapsed="false">
      <c r="A11" s="8" t="s">
        <v>1783</v>
      </c>
      <c r="B11" s="8" t="s">
        <v>1784</v>
      </c>
      <c r="C11" s="8" t="s">
        <v>1769</v>
      </c>
      <c r="D11" s="19" t="s">
        <v>1785</v>
      </c>
      <c r="E11" s="8" t="s">
        <v>1748</v>
      </c>
      <c r="F11" s="8" t="s">
        <v>1786</v>
      </c>
      <c r="G11" s="8" t="s">
        <v>1787</v>
      </c>
    </row>
    <row r="12" customFormat="false" ht="15" hidden="false" customHeight="false" outlineLevel="0" collapsed="false">
      <c r="A12" s="8" t="s">
        <v>1788</v>
      </c>
      <c r="B12" s="8" t="s">
        <v>1789</v>
      </c>
      <c r="C12" s="8" t="s">
        <v>1790</v>
      </c>
      <c r="D12" s="19" t="s">
        <v>1791</v>
      </c>
      <c r="E12" s="8" t="s">
        <v>1748</v>
      </c>
      <c r="F12" s="8" t="s">
        <v>1792</v>
      </c>
      <c r="G12" s="8" t="s">
        <v>1793</v>
      </c>
    </row>
    <row r="13" customFormat="false" ht="15" hidden="false" customHeight="false" outlineLevel="0" collapsed="false">
      <c r="A13" s="8" t="s">
        <v>1794</v>
      </c>
      <c r="B13" s="8" t="s">
        <v>1795</v>
      </c>
      <c r="C13" s="8" t="s">
        <v>1796</v>
      </c>
      <c r="D13" s="19" t="s">
        <v>1797</v>
      </c>
      <c r="E13" s="8" t="s">
        <v>1748</v>
      </c>
      <c r="F13" s="8" t="s">
        <v>1798</v>
      </c>
      <c r="G13" s="8" t="s">
        <v>1793</v>
      </c>
    </row>
    <row r="14" customFormat="false" ht="15" hidden="false" customHeight="false" outlineLevel="0" collapsed="false">
      <c r="A14" s="8" t="s">
        <v>1799</v>
      </c>
      <c r="B14" s="8" t="s">
        <v>1800</v>
      </c>
      <c r="C14" s="8" t="s">
        <v>1801</v>
      </c>
      <c r="D14" s="19" t="s">
        <v>1802</v>
      </c>
      <c r="E14" s="8" t="s">
        <v>1748</v>
      </c>
      <c r="F14" s="8" t="s">
        <v>1803</v>
      </c>
      <c r="G14" s="8" t="s">
        <v>1804</v>
      </c>
    </row>
    <row r="15" customFormat="false" ht="15" hidden="false" customHeight="false" outlineLevel="0" collapsed="false">
      <c r="A15" s="8" t="s">
        <v>1805</v>
      </c>
      <c r="B15" s="8" t="s">
        <v>1806</v>
      </c>
      <c r="C15" s="8" t="s">
        <v>1807</v>
      </c>
      <c r="D15" s="19" t="s">
        <v>1808</v>
      </c>
      <c r="E15" s="8" t="s">
        <v>1748</v>
      </c>
      <c r="F15" s="8" t="s">
        <v>1809</v>
      </c>
      <c r="G15" s="8" t="s">
        <v>1810</v>
      </c>
    </row>
    <row r="16" customFormat="false" ht="15" hidden="false" customHeight="false" outlineLevel="0" collapsed="false">
      <c r="A16" s="8" t="s">
        <v>1811</v>
      </c>
      <c r="B16" s="8" t="s">
        <v>1812</v>
      </c>
      <c r="C16" s="8" t="s">
        <v>1813</v>
      </c>
      <c r="D16" s="19" t="s">
        <v>1814</v>
      </c>
      <c r="E16" s="8" t="s">
        <v>1748</v>
      </c>
      <c r="F16" s="8" t="s">
        <v>1815</v>
      </c>
      <c r="G16" s="8" t="s">
        <v>1816</v>
      </c>
    </row>
    <row r="17" customFormat="false" ht="15" hidden="false" customHeight="false" outlineLevel="0" collapsed="false">
      <c r="A17" s="8" t="s">
        <v>1817</v>
      </c>
      <c r="B17" s="8" t="s">
        <v>1818</v>
      </c>
      <c r="C17" s="8" t="s">
        <v>1819</v>
      </c>
      <c r="D17" s="19" t="s">
        <v>1820</v>
      </c>
      <c r="E17" s="8" t="s">
        <v>1748</v>
      </c>
      <c r="F17" s="8" t="s">
        <v>1821</v>
      </c>
      <c r="G17" s="8" t="s">
        <v>1787</v>
      </c>
    </row>
    <row r="18" customFormat="false" ht="15" hidden="false" customHeight="false" outlineLevel="0" collapsed="false">
      <c r="A18" s="8" t="s">
        <v>1822</v>
      </c>
      <c r="B18" s="8" t="s">
        <v>1823</v>
      </c>
      <c r="C18" s="8" t="s">
        <v>1824</v>
      </c>
      <c r="D18" s="19" t="s">
        <v>597</v>
      </c>
      <c r="E18" s="8" t="s">
        <v>1748</v>
      </c>
      <c r="F18" s="8" t="s">
        <v>1825</v>
      </c>
      <c r="G18" s="8" t="s">
        <v>1793</v>
      </c>
    </row>
    <row r="19" customFormat="false" ht="15" hidden="false" customHeight="false" outlineLevel="0" collapsed="false">
      <c r="A19" s="8" t="s">
        <v>1826</v>
      </c>
      <c r="B19" s="8" t="s">
        <v>1827</v>
      </c>
      <c r="C19" s="8" t="s">
        <v>1828</v>
      </c>
      <c r="D19" s="19" t="s">
        <v>1829</v>
      </c>
      <c r="E19" s="8" t="s">
        <v>1748</v>
      </c>
      <c r="F19" s="8" t="s">
        <v>1830</v>
      </c>
      <c r="G19" s="8" t="s">
        <v>1782</v>
      </c>
    </row>
    <row r="20" customFormat="false" ht="15" hidden="false" customHeight="false" outlineLevel="0" collapsed="false">
      <c r="A20" s="8" t="s">
        <v>1831</v>
      </c>
      <c r="B20" s="8" t="s">
        <v>1832</v>
      </c>
      <c r="C20" s="8" t="s">
        <v>1833</v>
      </c>
      <c r="D20" s="19" t="s">
        <v>1834</v>
      </c>
      <c r="E20" s="8" t="s">
        <v>1748</v>
      </c>
      <c r="F20" s="8" t="s">
        <v>1835</v>
      </c>
      <c r="G20" s="8" t="s">
        <v>1782</v>
      </c>
    </row>
    <row r="21" customFormat="false" ht="15" hidden="false" customHeight="false" outlineLevel="0" collapsed="false">
      <c r="A21" s="8" t="s">
        <v>1836</v>
      </c>
      <c r="B21" s="8" t="s">
        <v>1837</v>
      </c>
      <c r="C21" s="8" t="s">
        <v>1838</v>
      </c>
      <c r="D21" s="19" t="s">
        <v>447</v>
      </c>
      <c r="E21" s="8" t="s">
        <v>1748</v>
      </c>
      <c r="F21" s="8" t="s">
        <v>1839</v>
      </c>
      <c r="G21" s="8" t="s">
        <v>1793</v>
      </c>
    </row>
    <row r="22" customFormat="false" ht="15" hidden="false" customHeight="false" outlineLevel="0" collapsed="false">
      <c r="A22" s="8" t="s">
        <v>1840</v>
      </c>
      <c r="B22" s="8" t="s">
        <v>1841</v>
      </c>
      <c r="C22" s="8" t="s">
        <v>1796</v>
      </c>
      <c r="D22" s="19" t="s">
        <v>584</v>
      </c>
      <c r="E22" s="8" t="s">
        <v>1748</v>
      </c>
      <c r="F22" s="8" t="s">
        <v>1842</v>
      </c>
      <c r="G22" s="8" t="s">
        <v>1793</v>
      </c>
    </row>
    <row r="23" customFormat="false" ht="15" hidden="false" customHeight="false" outlineLevel="0" collapsed="false">
      <c r="A23" s="8" t="s">
        <v>1843</v>
      </c>
      <c r="B23" s="8" t="s">
        <v>1844</v>
      </c>
      <c r="C23" s="8" t="s">
        <v>1845</v>
      </c>
      <c r="D23" s="19" t="s">
        <v>485</v>
      </c>
      <c r="E23" s="8" t="s">
        <v>1748</v>
      </c>
      <c r="F23" s="8" t="s">
        <v>1846</v>
      </c>
      <c r="G23" s="8" t="s">
        <v>1782</v>
      </c>
    </row>
  </sheetData>
  <hyperlinks>
    <hyperlink ref="D3" r:id="rId1" display="https://sfplanning.org/sites/default/files/resources/2026-04/2025_Housing_Inventory.pdf"/>
    <hyperlink ref="D4" r:id="rId2" display="https://sfplanning.org/sites/default/files/resources/2025-04/2024_Housing%20Inventory.pdf"/>
    <hyperlink ref="D5" r:id="rId3" display="https://sfplanning.org/sites/default/files/resources/2024-04/2023_Housing_Inventory.pdf"/>
    <hyperlink ref="D6" r:id="rId4" display="https://sfplanning.org/project/housing-inventory"/>
    <hyperlink ref="D7" r:id="rId5" display="https://sfplanning.org/project/pipeline-report"/>
    <hyperlink ref="D8" r:id="rId6" display="https://data.sf.gov/d/6jgi-cpb4"/>
    <hyperlink ref="D9" r:id="rId7" display="https://data.sfgov.org/Housing-and-Buildings/Affordable-Housing-Pipeline/aaxw-2cb8"/>
    <hyperlink ref="D10" r:id="rId8" display="https://sfplanning.org/san-francisco-housing-dashboard"/>
    <hyperlink ref="D11" r:id="rId9" display="https://data.sfgov.org/Housing-and-Buildings/Dwelling-Unit-Completion-Counts-by-Building-Permit/j67f-aayr"/>
    <hyperlink ref="D12" r:id="rId10" display="https://thefrisc.com/sf-has-built-only-400-homes-this-year-tens-of-thousands-more-are-waiting/"/>
    <hyperlink ref="D13" r:id="rId11" display="https://www.sfchronicle.com/realestate/article/sf-homes-built-22208676.php"/>
    <hyperlink ref="D14" r:id="rId12" display="https://www.huduser.gov/portal/publications/pdf/CMARtables_SanFranciscoRedwoodCitySouthSanFranciscoCA_24.pdf"/>
    <hyperlink ref="D15" r:id="rId13" display="https://censusreporter.org/profiles/16000US0667000-san-francisco-ca"/>
    <hyperlink ref="D16" r:id="rId14" display="https://www.treasurer.ca.gov/ctcac/"/>
    <hyperlink ref="D17" r:id="rId15" display="https://www.sf.gov/departments--mayors-office-housing-and-community-development"/>
    <hyperlink ref="D18" r:id="rId16" display="https://www.calhfa.ca.gov/multifamily/mixedincome/approved/20250623-Sutter-Street.pdf"/>
    <hyperlink ref="D19" r:id="rId17" display="https://sfyimby.com"/>
    <hyperlink ref="D20" r:id="rId18" display="https://www.sf.gov/news"/>
    <hyperlink ref="D21" r:id="rId19" display="https://www.costar.com/article/147377327"/>
    <hyperlink ref="D22" r:id="rId20" display="https://www.sfchronicle.com/realestate/article/sf-housing-affordable-apartments-20816373.php"/>
    <hyperlink ref="D23" r:id="rId21" display="https://www.chinatowncdc.org/our-housing/in-developmen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40"/>
    <col collapsed="false" customWidth="true" hidden="false" outlineLevel="0" max="4" min="4" style="0" width="90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4" t="s">
        <v>1847</v>
      </c>
    </row>
    <row r="3" customFormat="false" ht="15" hidden="false" customHeight="false" outlineLevel="0" collapsed="false">
      <c r="A3" s="7" t="s">
        <v>1848</v>
      </c>
      <c r="B3" s="7" t="s">
        <v>1849</v>
      </c>
      <c r="C3" s="7" t="s">
        <v>1850</v>
      </c>
      <c r="D3" s="7" t="s">
        <v>1851</v>
      </c>
      <c r="E3" s="7" t="s">
        <v>1852</v>
      </c>
    </row>
    <row r="4" customFormat="false" ht="23.85" hidden="false" customHeight="false" outlineLevel="0" collapsed="false">
      <c r="A4" s="2" t="s">
        <v>98</v>
      </c>
      <c r="B4" s="2" t="s">
        <v>1853</v>
      </c>
      <c r="C4" s="2" t="s">
        <v>1854</v>
      </c>
      <c r="D4" s="2" t="s">
        <v>1855</v>
      </c>
      <c r="E4" s="2" t="s">
        <v>1856</v>
      </c>
    </row>
    <row r="5" customFormat="false" ht="23.85" hidden="false" customHeight="false" outlineLevel="0" collapsed="false">
      <c r="A5" s="2" t="s">
        <v>99</v>
      </c>
      <c r="B5" s="2" t="s">
        <v>1857</v>
      </c>
      <c r="C5" s="2" t="s">
        <v>1858</v>
      </c>
      <c r="D5" s="2" t="s">
        <v>1859</v>
      </c>
      <c r="E5" s="2" t="s">
        <v>1856</v>
      </c>
    </row>
    <row r="6" customFormat="false" ht="23.85" hidden="false" customHeight="false" outlineLevel="0" collapsed="false">
      <c r="A6" s="2" t="s">
        <v>100</v>
      </c>
      <c r="B6" s="2" t="s">
        <v>1860</v>
      </c>
      <c r="C6" s="2" t="s">
        <v>1861</v>
      </c>
      <c r="D6" s="2" t="s">
        <v>1862</v>
      </c>
      <c r="E6" s="2" t="s">
        <v>1772</v>
      </c>
    </row>
    <row r="7" customFormat="false" ht="46.25" hidden="false" customHeight="false" outlineLevel="0" collapsed="false">
      <c r="A7" s="2" t="s">
        <v>101</v>
      </c>
      <c r="B7" s="2" t="s">
        <v>1863</v>
      </c>
      <c r="C7" s="2" t="s">
        <v>1864</v>
      </c>
      <c r="D7" s="2" t="s">
        <v>1865</v>
      </c>
      <c r="E7" s="2" t="s">
        <v>1772</v>
      </c>
    </row>
    <row r="8" customFormat="false" ht="35.05" hidden="false" customHeight="false" outlineLevel="0" collapsed="false">
      <c r="A8" s="2" t="s">
        <v>102</v>
      </c>
      <c r="B8" s="2" t="s">
        <v>1866</v>
      </c>
      <c r="C8" s="2" t="s">
        <v>1867</v>
      </c>
      <c r="D8" s="2" t="s">
        <v>1868</v>
      </c>
      <c r="E8" s="2" t="s">
        <v>1869</v>
      </c>
    </row>
    <row r="9" customFormat="false" ht="23.85" hidden="false" customHeight="false" outlineLevel="0" collapsed="false">
      <c r="A9" s="2" t="s">
        <v>103</v>
      </c>
      <c r="B9" s="2" t="s">
        <v>1870</v>
      </c>
      <c r="C9" s="2" t="s">
        <v>1871</v>
      </c>
      <c r="D9" s="2" t="s">
        <v>1872</v>
      </c>
      <c r="E9" s="2" t="s">
        <v>1787</v>
      </c>
    </row>
    <row r="10" customFormat="false" ht="35.05" hidden="false" customHeight="false" outlineLevel="0" collapsed="false">
      <c r="A10" s="2" t="s">
        <v>104</v>
      </c>
      <c r="B10" s="2" t="s">
        <v>1873</v>
      </c>
      <c r="C10" s="2" t="s">
        <v>1874</v>
      </c>
      <c r="D10" s="2" t="s">
        <v>1875</v>
      </c>
      <c r="E10" s="2" t="s">
        <v>1876</v>
      </c>
    </row>
    <row r="11" customFormat="false" ht="23.85" hidden="false" customHeight="false" outlineLevel="0" collapsed="false">
      <c r="A11" s="2" t="s">
        <v>105</v>
      </c>
      <c r="B11" s="2" t="s">
        <v>1877</v>
      </c>
      <c r="C11" s="2" t="s">
        <v>1878</v>
      </c>
      <c r="D11" s="2" t="s">
        <v>1879</v>
      </c>
      <c r="E11" s="2" t="s">
        <v>1880</v>
      </c>
    </row>
    <row r="12" customFormat="false" ht="23.85" hidden="false" customHeight="false" outlineLevel="0" collapsed="false">
      <c r="A12" s="2" t="s">
        <v>106</v>
      </c>
      <c r="B12" s="2" t="s">
        <v>1881</v>
      </c>
      <c r="C12" s="2" t="s">
        <v>1882</v>
      </c>
      <c r="D12" s="2" t="s">
        <v>1883</v>
      </c>
      <c r="E12" s="2" t="s">
        <v>1884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2026-09-09T18:56:20Z</dcterms:created>
  <dc:creator>openpyxl</dc:creator>
  <dc:description/>
  <dc:language>en-US</dc:language>
  <cp:lastModifiedBy/>
  <dcterms:modified xsi:type="dcterms:W3CDTF">2026-09-09T18:56:20Z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